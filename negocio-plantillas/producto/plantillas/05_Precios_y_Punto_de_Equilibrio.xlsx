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 de Precios" sheetId="1" state="visible" r:id="rId3"/>
    <sheet name="Punto de Equilib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<sst xmlns="http://schemas.openxmlformats.org/spreadsheetml/2006/main" count="37" uniqueCount="37">
  <si>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CALCULADORA DE PRECIOS Y GANANCIAS</t>
  </si>
  <si>
    <t xml:space="preserve">Descubre a cuánto vender cada producto para ganar lo que quieres, y cuánto estás ganando de verdad hoy.</t>
  </si>
  <si>
    <t xml:space="preserve">Producto / servicio</t>
  </si>
  <si>
    <t xml:space="preserve">Costo de materiales o compra</t>
  </si>
  <si>
    <t xml:space="preserve">Otros costos (empaque, transporte...)</t>
  </si>
  <si>
    <t xml:space="preserve">Costo total</t>
  </si>
  <si>
    <t xml:space="preserve">Margen deseado (%)</t>
  </si>
  <si>
    <t xml:space="preserve">Precio sugerido</t>
  </si>
  <si>
    <t xml:space="preserve">Precio actual</t>
  </si>
  <si>
    <t xml:space="preserve">Ganancia por unidad hoy</t>
  </si>
  <si>
    <t xml:space="preserve">Margen real hoy</t>
  </si>
  <si>
    <t xml:space="preserve">Almuerzo ejecutivo</t>
  </si>
  <si>
    <t xml:space="preserve">Torta por porción</t>
  </si>
  <si>
    <t xml:space="preserve">Corte de cabello</t>
  </si>
  <si>
    <t xml:space="preserve">CÓMO USAR:</t>
  </si>
  <si>
    <t xml:space="preserve">• Escribe solo en las celdas amarillas. El 'Precio sugerido' (verde) es el que deberías cobrar para lograr tu margen deseado.</t>
  </si>
  <si>
    <t xml:space="preserve">• Si la 'Ganancia por unidad hoy' sale negativa, estás vendiendo a pérdida ese producto.</t>
  </si>
  <si>
    <t xml:space="preserve">• Las primeras filas son ejemplos: bórralas y escribe tus productos.</t>
  </si>
  <si>
    <t xml:space="preserve">Nota: el margen se calcula sobre el precio de venta (margen 50% = la mitad del precio es ganancia).</t>
  </si>
  <si>
    <t xml:space="preserve">PUNTO DE EQUILIBRIO</t>
  </si>
  <si>
    <t xml:space="preserve">¿Cuántas ventas necesitas al mes para cubrir tus gastos fijos? A partir de esa cantidad, todo es ganancia.</t>
  </si>
  <si>
    <t xml:space="preserve">1) Tus gastos fijos del mes</t>
  </si>
  <si>
    <t xml:space="preserve">Arriendo / alquiler</t>
  </si>
  <si>
    <t xml:space="preserve">Sueldos y ayudantes</t>
  </si>
  <si>
    <t xml:space="preserve">Servicios (luz, agua, internet)</t>
  </si>
  <si>
    <t xml:space="preserve">Cuotas de préstamos</t>
  </si>
  <si>
    <t xml:space="preserve">Otros gastos fijos</t>
  </si>
  <si>
    <t xml:space="preserve">Total gastos fijos</t>
  </si>
  <si>
    <t xml:space="preserve">2) Tu venta promedio</t>
  </si>
  <si>
    <t xml:space="preserve">Precio promedio de una venta</t>
  </si>
  <si>
    <t xml:space="preserve">Costo promedio de esa venta</t>
  </si>
  <si>
    <t xml:space="preserve">Ganancia por venta</t>
  </si>
  <si>
    <t xml:space="preserve">3) Resultado</t>
  </si>
  <si>
    <t xml:space="preserve">Ventas necesarias AL MES para no perder</t>
  </si>
  <si>
    <t xml:space="preserve">O sea, ventas por día (mes de 30 días)</t>
  </si>
  <si>
    <t xml:space="preserve">CÓMO USAR: escribe solo en las celdas amarillas. Los valores de ejemplo son de una tienda pequeña; cámbialos por los tuyos.</t>
  </si>
  <si>
    <t xml:space="preserve">Si vendes productos muy distintos, usa el precio y costo de tu producto más típico.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</si>
</sst>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7CC"/>
        <bgColor rgb="FFE2EFDA"/>
      </patternFill>
    </fill>
    <fill>
      <patternFill patternType="solid">
        <fgColor rgb="FFE2EFDA"/>
        <bgColor rgb="FFFFF7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6500</v>
      </c>
      <c r="C5" s="5" t="n">
        <v>1500</v>
      </c>
      <c r="D5" s="6" t="n">
        <f aca="false">IF($A5="","",B5+C5)</f>
        <v>8000</v>
      </c>
      <c r="E5" s="7" t="n">
        <v>0.35</v>
      </c>
      <c r="F5" s="8" t="n">
        <f aca="false">IF($A5="","",IF(E5&gt;=1,"pon % menor a 100",D5/(1-E5)))</f>
        <v>12307.6923076923</v>
      </c>
      <c r="G5" s="5" t="n">
        <v>12000</v>
      </c>
      <c r="H5" s="6" t="n">
        <f aca="false">IF($A5="","",IF(G5=0,"",G5-D5))</f>
        <v>4000</v>
      </c>
      <c r="I5" s="9" t="n">
        <f aca="false">IF($A5="","",IF(G5=0,"",(G5-D5)/G5))</f>
        <v>0.333333333333333</v>
      </c>
    </row>
    <row r="6" customFormat="false" ht="15" hidden="false" customHeight="false" outlineLevel="0" collapsed="false">
      <c r="A6" s="4" t="s">
        <v>12</v>
      </c>
      <c r="B6" s="5" t="n">
        <v>1800</v>
      </c>
      <c r="C6" s="5" t="n">
        <v>400</v>
      </c>
      <c r="D6" s="6" t="n">
        <f aca="false">IF($A6="","",B6+C6)</f>
        <v>2200</v>
      </c>
      <c r="E6" s="7" t="n">
        <v>0.5</v>
      </c>
      <c r="F6" s="8" t="n">
        <f aca="false">IF($A6="","",IF(E6&gt;=1,"pon % menor a 100",D6/(1-E6)))</f>
        <v>4400</v>
      </c>
      <c r="G6" s="5" t="n">
        <v>4000</v>
      </c>
      <c r="H6" s="6" t="n">
        <f aca="false">IF($A6="","",IF(G6=0,"",G6-D6))</f>
        <v>1800</v>
      </c>
      <c r="I6" s="9" t="n">
        <f aca="false">IF($A6="","",IF(G6=0,"",(G6-D6)/G6))</f>
        <v>0.45</v>
      </c>
    </row>
    <row r="7" customFormat="false" ht="15" hidden="false" customHeight="false" outlineLevel="0" collapsed="false">
      <c r="A7" s="4" t="s">
        <v>13</v>
      </c>
      <c r="B7" s="5" t="n">
        <v>2000</v>
      </c>
      <c r="C7" s="5" t="n">
        <v>500</v>
      </c>
      <c r="D7" s="6" t="n">
        <f aca="false">IF($A7="","",B7+C7)</f>
        <v>2500</v>
      </c>
      <c r="E7" s="7" t="n">
        <v>0.6</v>
      </c>
      <c r="F7" s="8" t="n">
        <f aca="false">IF($A7="","",IF(E7&gt;=1,"pon % menor a 100",D7/(1-E7)))</f>
        <v>6250</v>
      </c>
      <c r="G7" s="5" t="n">
        <v>15000</v>
      </c>
      <c r="H7" s="6" t="n">
        <f aca="false">IF($A7="","",IF(G7=0,"",G7-D7))</f>
        <v>12500</v>
      </c>
      <c r="I7" s="9" t="n">
        <f aca="false">IF($A7="","",IF(G7=0,"",(G7-D7)/G7))</f>
        <v>0.833333333333333</v>
      </c>
    </row>
    <row r="8" customFormat="false" ht="15" hidden="false" customHeight="false" outlineLevel="0" collapsed="false">
      <c r="A8" s="4"/>
      <c r="B8" s="5"/>
      <c r="C8" s="5"/>
      <c r="D8" s="6" t="str">
        <f aca="false">IF($A8="","",B8+C8)</f>
        <v/>
      </c>
      <c r="E8" s="7"/>
      <c r="F8" s="8" t="str">
        <f aca="false">IF($A8="","",IF(E8&gt;=1,"pon % menor a 100",D8/(1-E8)))</f>
        <v/>
      </c>
      <c r="G8" s="5"/>
      <c r="H8" s="6" t="str">
        <f aca="false">IF($A8="","",IF(G8=0,"",G8-D8))</f>
        <v/>
      </c>
      <c r="I8" s="9" t="str">
        <f aca="false">IF($A8="","",IF(G8=0,"",(G8-D8)/G8))</f>
        <v/>
      </c>
    </row>
    <row r="9" customFormat="false" ht="15" hidden="false" customHeight="false" outlineLevel="0" collapsed="false">
      <c r="A9" s="4"/>
      <c r="B9" s="5"/>
      <c r="C9" s="5"/>
      <c r="D9" s="6" t="str">
        <f aca="false">IF($A9="","",B9+C9)</f>
        <v/>
      </c>
      <c r="E9" s="7"/>
      <c r="F9" s="8" t="str">
        <f aca="false">IF($A9="","",IF(E9&gt;=1,"pon % menor a 100",D9/(1-E9)))</f>
        <v/>
      </c>
      <c r="G9" s="5"/>
      <c r="H9" s="6" t="str">
        <f aca="false">IF($A9="","",IF(G9=0,"",G9-D9))</f>
        <v/>
      </c>
      <c r="I9" s="9" t="str">
        <f aca="false">IF($A9="","",IF(G9=0,"",(G9-D9)/G9))</f>
        <v/>
      </c>
    </row>
    <row r="10" customFormat="false" ht="15" hidden="false" customHeight="false" outlineLevel="0" collapsed="false">
      <c r="A10" s="4"/>
      <c r="B10" s="5"/>
      <c r="C10" s="5"/>
      <c r="D10" s="6" t="str">
        <f aca="false">IF($A10="","",B10+C10)</f>
        <v/>
      </c>
      <c r="E10" s="7"/>
      <c r="F10" s="8" t="str">
        <f aca="false">IF($A10="","",IF(E10&gt;=1,"pon % menor a 100",D10/(1-E10)))</f>
        <v/>
      </c>
      <c r="G10" s="5"/>
      <c r="H10" s="6" t="str">
        <f aca="false">IF($A10="","",IF(G10=0,"",G10-D10))</f>
        <v/>
      </c>
      <c r="I10" s="9" t="str">
        <f aca="false">IF($A10="","",IF(G10=0,"",(G10-D10)/G10))</f>
        <v/>
      </c>
    </row>
    <row r="11" customFormat="false" ht="15" hidden="false" customHeight="false" outlineLevel="0" collapsed="false">
      <c r="A11" s="4"/>
      <c r="B11" s="5"/>
      <c r="C11" s="5"/>
      <c r="D11" s="6" t="str">
        <f aca="false">IF($A11="","",B11+C11)</f>
        <v/>
      </c>
      <c r="E11" s="7"/>
      <c r="F11" s="8" t="str">
        <f aca="false">IF($A11="","",IF(E11&gt;=1,"pon % menor a 100",D11/(1-E11)))</f>
        <v/>
      </c>
      <c r="G11" s="5"/>
      <c r="H11" s="6" t="str">
        <f aca="false">IF($A11="","",IF(G11=0,"",G11-D11))</f>
        <v/>
      </c>
      <c r="I11" s="9" t="str">
        <f aca="false">IF($A11="","",IF(G11=0,"",(G11-D11)/G11))</f>
        <v/>
      </c>
    </row>
    <row r="12" customFormat="false" ht="15" hidden="false" customHeight="false" outlineLevel="0" collapsed="false">
      <c r="A12" s="4"/>
      <c r="B12" s="5"/>
      <c r="C12" s="5"/>
      <c r="D12" s="6" t="str">
        <f aca="false">IF($A12="","",B12+C12)</f>
        <v/>
      </c>
      <c r="E12" s="7"/>
      <c r="F12" s="8" t="str">
        <f aca="false">IF($A12="","",IF(E12&gt;=1,"pon % menor a 100",D12/(1-E12)))</f>
        <v/>
      </c>
      <c r="G12" s="5"/>
      <c r="H12" s="6" t="str">
        <f aca="false">IF($A12="","",IF(G12=0,"",G12-D12))</f>
        <v/>
      </c>
      <c r="I12" s="9" t="str">
        <f aca="false">IF($A12="","",IF(G12=0,"",(G12-D12)/G12))</f>
        <v/>
      </c>
    </row>
    <row r="13" customFormat="false" ht="15" hidden="false" customHeight="false" outlineLevel="0" collapsed="false">
      <c r="A13" s="4"/>
      <c r="B13" s="5"/>
      <c r="C13" s="5"/>
      <c r="D13" s="6" t="str">
        <f aca="false">IF($A13="","",B13+C13)</f>
        <v/>
      </c>
      <c r="E13" s="7"/>
      <c r="F13" s="8" t="str">
        <f aca="false">IF($A13="","",IF(E13&gt;=1,"pon % menor a 100",D13/(1-E13)))</f>
        <v/>
      </c>
      <c r="G13" s="5"/>
      <c r="H13" s="6" t="str">
        <f aca="false">IF($A13="","",IF(G13=0,"",G13-D13))</f>
        <v/>
      </c>
      <c r="I13" s="9" t="str">
        <f aca="false">IF($A13="","",IF(G13=0,"",(G13-D13)/G13))</f>
        <v/>
      </c>
    </row>
    <row r="14" customFormat="false" ht="15" hidden="false" customHeight="false" outlineLevel="0" collapsed="false">
      <c r="A14" s="4"/>
      <c r="B14" s="5"/>
      <c r="C14" s="5"/>
      <c r="D14" s="6" t="str">
        <f aca="false">IF($A14="","",B14+C14)</f>
        <v/>
      </c>
      <c r="E14" s="7"/>
      <c r="F14" s="8" t="str">
        <f aca="false">IF($A14="","",IF(E14&gt;=1,"pon % menor a 100",D14/(1-E14)))</f>
        <v/>
      </c>
      <c r="G14" s="5"/>
      <c r="H14" s="6" t="str">
        <f aca="false">IF($A14="","",IF(G14=0,"",G14-D14))</f>
        <v/>
      </c>
      <c r="I14" s="9" t="str">
        <f aca="false">IF($A14="","",IF(G14=0,"",(G14-D14)/G14))</f>
        <v/>
      </c>
    </row>
    <row r="15" customFormat="false" ht="15" hidden="false" customHeight="false" outlineLevel="0" collapsed="false">
      <c r="A15" s="4"/>
      <c r="B15" s="5"/>
      <c r="C15" s="5"/>
      <c r="D15" s="6" t="str">
        <f aca="false">IF($A15="","",B15+C15)</f>
        <v/>
      </c>
      <c r="E15" s="7"/>
      <c r="F15" s="8" t="str">
        <f aca="false">IF($A15="","",IF(E15&gt;=1,"pon % menor a 100",D15/(1-E15)))</f>
        <v/>
      </c>
      <c r="G15" s="5"/>
      <c r="H15" s="6" t="str">
        <f aca="false">IF($A15="","",IF(G15=0,"",G15-D15))</f>
        <v/>
      </c>
      <c r="I15" s="9" t="str">
        <f aca="false">IF($A15="","",IF(G15=0,"",(G15-D15)/G15))</f>
        <v/>
      </c>
    </row>
    <row r="16" customFormat="false" ht="15" hidden="false" customHeight="false" outlineLevel="0" collapsed="false">
      <c r="A16" s="4"/>
      <c r="B16" s="5"/>
      <c r="C16" s="5"/>
      <c r="D16" s="6" t="str">
        <f aca="false">IF($A16="","",B16+C16)</f>
        <v/>
      </c>
      <c r="E16" s="7"/>
      <c r="F16" s="8" t="str">
        <f aca="false">IF($A16="","",IF(E16&gt;=1,"pon % menor a 100",D16/(1-E16)))</f>
        <v/>
      </c>
      <c r="G16" s="5"/>
      <c r="H16" s="6" t="str">
        <f aca="false">IF($A16="","",IF(G16=0,"",G16-D16))</f>
        <v/>
      </c>
      <c r="I16" s="9" t="str">
        <f aca="false">IF($A16="","",IF(G16=0,"",(G16-D16)/G16))</f>
        <v/>
      </c>
    </row>
    <row r="17" customFormat="false" ht="15" hidden="false" customHeight="false" outlineLevel="0" collapsed="false">
      <c r="A17" s="4"/>
      <c r="B17" s="5"/>
      <c r="C17" s="5"/>
      <c r="D17" s="6" t="str">
        <f aca="false">IF($A17="","",B17+C17)</f>
        <v/>
      </c>
      <c r="E17" s="7"/>
      <c r="F17" s="8" t="str">
        <f aca="false">IF($A17="","",IF(E17&gt;=1,"pon % menor a 100",D17/(1-E17)))</f>
        <v/>
      </c>
      <c r="G17" s="5"/>
      <c r="H17" s="6" t="str">
        <f aca="false">IF($A17="","",IF(G17=0,"",G17-D17))</f>
        <v/>
      </c>
      <c r="I17" s="9" t="str">
        <f aca="false">IF($A17="","",IF(G17=0,"",(G17-D17)/G17))</f>
        <v/>
      </c>
    </row>
    <row r="18" customFormat="false" ht="15" hidden="false" customHeight="false" outlineLevel="0" collapsed="false">
      <c r="A18" s="4"/>
      <c r="B18" s="5"/>
      <c r="C18" s="5"/>
      <c r="D18" s="6" t="str">
        <f aca="false">IF($A18="","",B18+C18)</f>
        <v/>
      </c>
      <c r="E18" s="7"/>
      <c r="F18" s="8" t="str">
        <f aca="false">IF($A18="","",IF(E18&gt;=1,"pon % menor a 100",D18/(1-E18)))</f>
        <v/>
      </c>
      <c r="G18" s="5"/>
      <c r="H18" s="6" t="str">
        <f aca="false">IF($A18="","",IF(G18=0,"",G18-D18))</f>
        <v/>
      </c>
      <c r="I18" s="9" t="str">
        <f aca="false">IF($A18="","",IF(G18=0,"",(G18-D18)/G18))</f>
        <v/>
      </c>
    </row>
    <row r="19" customFormat="false" ht="15" hidden="false" customHeight="false" outlineLevel="0" collapsed="false">
      <c r="A19" s="4"/>
      <c r="B19" s="5"/>
      <c r="C19" s="5"/>
      <c r="D19" s="6" t="str">
        <f aca="false">IF($A19="","",B19+C19)</f>
        <v/>
      </c>
      <c r="E19" s="7"/>
      <c r="F19" s="8" t="str">
        <f aca="false">IF($A19="","",IF(E19&gt;=1,"pon % menor a 100",D19/(1-E19)))</f>
        <v/>
      </c>
      <c r="G19" s="5"/>
      <c r="H19" s="6" t="str">
        <f aca="false">IF($A19="","",IF(G19=0,"",G19-D19))</f>
        <v/>
      </c>
      <c r="I19" s="9" t="str">
        <f aca="false">IF($A19="","",IF(G19=0,"",(G19-D19)/G19))</f>
        <v/>
      </c>
    </row>
    <row r="20" customFormat="false" ht="15" hidden="false" customHeight="false" outlineLevel="0" collapsed="false">
      <c r="A20" s="4"/>
      <c r="B20" s="5"/>
      <c r="C20" s="5"/>
      <c r="D20" s="6" t="str">
        <f aca="false">IF($A20="","",B20+C20)</f>
        <v/>
      </c>
      <c r="E20" s="7"/>
      <c r="F20" s="8" t="str">
        <f aca="false">IF($A20="","",IF(E20&gt;=1,"pon % menor a 100",D20/(1-E20)))</f>
        <v/>
      </c>
      <c r="G20" s="5"/>
      <c r="H20" s="6" t="str">
        <f aca="false">IF($A20="","",IF(G20=0,"",G20-D20))</f>
        <v/>
      </c>
      <c r="I20" s="9" t="str">
        <f aca="false">IF($A20="","",IF(G20=0,"",(G20-D20)/G20))</f>
        <v/>
      </c>
    </row>
    <row r="21" customFormat="false" ht="15" hidden="false" customHeight="false" outlineLevel="0" collapsed="false">
      <c r="A21" s="4"/>
      <c r="B21" s="5"/>
      <c r="C21" s="5"/>
      <c r="D21" s="6" t="str">
        <f aca="false">IF($A21="","",B21+C21)</f>
        <v/>
      </c>
      <c r="E21" s="7"/>
      <c r="F21" s="8" t="str">
        <f aca="false">IF($A21="","",IF(E21&gt;=1,"pon % menor a 100",D21/(1-E21)))</f>
        <v/>
      </c>
      <c r="G21" s="5"/>
      <c r="H21" s="6" t="str">
        <f aca="false">IF($A21="","",IF(G21=0,"",G21-D21))</f>
        <v/>
      </c>
      <c r="I21" s="9" t="str">
        <f aca="false">IF($A21="","",IF(G21=0,"",(G21-D21)/G21))</f>
        <v/>
      </c>
    </row>
    <row r="22" customFormat="false" ht="15" hidden="false" customHeight="false" outlineLevel="0" collapsed="false">
      <c r="A22" s="4"/>
      <c r="B22" s="5"/>
      <c r="C22" s="5"/>
      <c r="D22" s="6" t="str">
        <f aca="false">IF($A22="","",B22+C22)</f>
        <v/>
      </c>
      <c r="E22" s="7"/>
      <c r="F22" s="8" t="str">
        <f aca="false">IF($A22="","",IF(E22&gt;=1,"pon % menor a 100",D22/(1-E22)))</f>
        <v/>
      </c>
      <c r="G22" s="5"/>
      <c r="H22" s="6" t="str">
        <f aca="false">IF($A22="","",IF(G22=0,"",G22-D22))</f>
        <v/>
      </c>
      <c r="I22" s="9" t="str">
        <f aca="false">IF($A22="","",IF(G22=0,"",(G22-D22)/G22))</f>
        <v/>
      </c>
    </row>
    <row r="23" customFormat="false" ht="15" hidden="false" customHeight="false" outlineLevel="0" collapsed="false">
      <c r="A23" s="4"/>
      <c r="B23" s="5"/>
      <c r="C23" s="5"/>
      <c r="D23" s="6" t="str">
        <f aca="false">IF($A23="","",B23+C23)</f>
        <v/>
      </c>
      <c r="E23" s="7"/>
      <c r="F23" s="8" t="str">
        <f aca="false">IF($A23="","",IF(E23&gt;=1,"pon % menor a 100",D23/(1-E23)))</f>
        <v/>
      </c>
      <c r="G23" s="5"/>
      <c r="H23" s="6" t="str">
        <f aca="false">IF($A23="","",IF(G23=0,"",G23-D23))</f>
        <v/>
      </c>
      <c r="I23" s="9" t="str">
        <f aca="false">IF($A23="","",IF(G23=0,"",(G23-D23)/G23))</f>
        <v/>
      </c>
    </row>
    <row r="24" customFormat="false" ht="15" hidden="false" customHeight="false" outlineLevel="0" collapsed="false">
      <c r="A24" s="4"/>
      <c r="B24" s="5"/>
      <c r="C24" s="5"/>
      <c r="D24" s="6" t="str">
        <f aca="false">IF($A24="","",B24+C24)</f>
        <v/>
      </c>
      <c r="E24" s="7"/>
      <c r="F24" s="8" t="str">
        <f aca="false">IF($A24="","",IF(E24&gt;=1,"pon % menor a 100",D24/(1-E24)))</f>
        <v/>
      </c>
      <c r="G24" s="5"/>
      <c r="H24" s="6" t="str">
        <f aca="false">IF($A24="","",IF(G24=0,"",G24-D24))</f>
        <v/>
      </c>
      <c r="I24" s="9" t="str">
        <f aca="false">IF($A24="","",IF(G24=0,"",(G24-D24)/G24))</f>
        <v/>
      </c>
    </row>
    <row r="25" customFormat="false" ht="15" hidden="false" customHeight="false" outlineLevel="0" collapsed="false">
      <c r="A25" s="4"/>
      <c r="B25" s="5"/>
      <c r="C25" s="5"/>
      <c r="D25" s="6" t="str">
        <f aca="false">IF($A25="","",B25+C25)</f>
        <v/>
      </c>
      <c r="E25" s="7"/>
      <c r="F25" s="8" t="str">
        <f aca="false">IF($A25="","",IF(E25&gt;=1,"pon % menor a 100",D25/(1-E25)))</f>
        <v/>
      </c>
      <c r="G25" s="5"/>
      <c r="H25" s="6" t="str">
        <f aca="false">IF($A25="","",IF(G25=0,"",G25-D25))</f>
        <v/>
      </c>
      <c r="I25" s="9" t="str">
        <f aca="false">IF($A25="","",IF(G25=0,"",(G25-D25)/G25))</f>
        <v/>
      </c>
    </row>
    <row r="26" customFormat="false" ht="15" hidden="false" customHeight="false" outlineLevel="0" collapsed="false">
      <c r="A26" s="4"/>
      <c r="B26" s="5"/>
      <c r="C26" s="5"/>
      <c r="D26" s="6" t="str">
        <f aca="false">IF($A26="","",B26+C26)</f>
        <v/>
      </c>
      <c r="E26" s="7"/>
      <c r="F26" s="8" t="str">
        <f aca="false">IF($A26="","",IF(E26&gt;=1,"pon % menor a 100",D26/(1-E26)))</f>
        <v/>
      </c>
      <c r="G26" s="5"/>
      <c r="H26" s="6" t="str">
        <f aca="false">IF($A26="","",IF(G26=0,"",G26-D26))</f>
        <v/>
      </c>
      <c r="I26" s="9" t="str">
        <f aca="false">IF($A26="","",IF(G26=0,"",(G26-D26)/G26))</f>
        <v/>
      </c>
    </row>
    <row r="27" customFormat="false" ht="15" hidden="false" customHeight="false" outlineLevel="0" collapsed="false">
      <c r="A27" s="4"/>
      <c r="B27" s="5"/>
      <c r="C27" s="5"/>
      <c r="D27" s="6" t="str">
        <f aca="false">IF($A27="","",B27+C27)</f>
        <v/>
      </c>
      <c r="E27" s="7"/>
      <c r="F27" s="8" t="str">
        <f aca="false">IF($A27="","",IF(E27&gt;=1,"pon % menor a 100",D27/(1-E27)))</f>
        <v/>
      </c>
      <c r="G27" s="5"/>
      <c r="H27" s="6" t="str">
        <f aca="false">IF($A27="","",IF(G27=0,"",G27-D27))</f>
        <v/>
      </c>
      <c r="I27" s="9" t="str">
        <f aca="false">IF($A27="","",IF(G27=0,"",(G27-D27)/G27))</f>
        <v/>
      </c>
    </row>
    <row r="28" customFormat="false" ht="15" hidden="false" customHeight="false" outlineLevel="0" collapsed="false">
      <c r="A28" s="4"/>
      <c r="B28" s="5"/>
      <c r="C28" s="5"/>
      <c r="D28" s="6" t="str">
        <f aca="false">IF($A28="","",B28+C28)</f>
        <v/>
      </c>
      <c r="E28" s="7"/>
      <c r="F28" s="8" t="str">
        <f aca="false">IF($A28="","",IF(E28&gt;=1,"pon % menor a 100",D28/(1-E28)))</f>
        <v/>
      </c>
      <c r="G28" s="5"/>
      <c r="H28" s="6" t="str">
        <f aca="false">IF($A28="","",IF(G28=0,"",G28-D28))</f>
        <v/>
      </c>
      <c r="I28" s="9" t="str">
        <f aca="false">IF($A28="","",IF(G28=0,"",(G28-D28)/G28))</f>
        <v/>
      </c>
    </row>
    <row r="29" customFormat="false" ht="15" hidden="false" customHeight="false" outlineLevel="0" collapsed="false">
      <c r="A29" s="4"/>
      <c r="B29" s="5"/>
      <c r="C29" s="5"/>
      <c r="D29" s="6" t="str">
        <f aca="false">IF($A29="","",B29+C29)</f>
        <v/>
      </c>
      <c r="E29" s="7"/>
      <c r="F29" s="8" t="str">
        <f aca="false">IF($A29="","",IF(E29&gt;=1,"pon % menor a 100",D29/(1-E29)))</f>
        <v/>
      </c>
      <c r="G29" s="5"/>
      <c r="H29" s="6" t="str">
        <f aca="false">IF($A29="","",IF(G29=0,"",G29-D29))</f>
        <v/>
      </c>
      <c r="I29" s="9" t="str">
        <f aca="false">IF($A29="","",IF(G29=0,"",(G29-D29)/G29))</f>
        <v/>
      </c>
    </row>
    <row r="30" customFormat="false" ht="15" hidden="false" customHeight="false" outlineLevel="0" collapsed="false">
      <c r="A30" s="4"/>
      <c r="B30" s="5"/>
      <c r="C30" s="5"/>
      <c r="D30" s="6" t="str">
        <f aca="false">IF($A30="","",B30+C30)</f>
        <v/>
      </c>
      <c r="E30" s="7"/>
      <c r="F30" s="8" t="str">
        <f aca="false">IF($A30="","",IF(E30&gt;=1,"pon % menor a 100",D30/(1-E30)))</f>
        <v/>
      </c>
      <c r="G30" s="5"/>
      <c r="H30" s="6" t="str">
        <f aca="false">IF($A30="","",IF(G30=0,"",G30-D30))</f>
        <v/>
      </c>
      <c r="I30" s="9" t="str">
        <f aca="false">IF($A30="","",IF(G30=0,"",(G30-D30)/G30))</f>
        <v/>
      </c>
    </row>
    <row r="31" customFormat="false" ht="15" hidden="false" customHeight="false" outlineLevel="0" collapsed="false">
      <c r="A31" s="4"/>
      <c r="B31" s="5"/>
      <c r="C31" s="5"/>
      <c r="D31" s="6" t="str">
        <f aca="false">IF($A31="","",B31+C31)</f>
        <v/>
      </c>
      <c r="E31" s="7"/>
      <c r="F31" s="8" t="str">
        <f aca="false">IF($A31="","",IF(E31&gt;=1,"pon % menor a 100",D31/(1-E31)))</f>
        <v/>
      </c>
      <c r="G31" s="5"/>
      <c r="H31" s="6" t="str">
        <f aca="false">IF($A31="","",IF(G31=0,"",G31-D31))</f>
        <v/>
      </c>
      <c r="I31" s="9" t="str">
        <f aca="false">IF($A31="","",IF(G31=0,"",(G31-D31)/G31))</f>
        <v/>
      </c>
    </row>
    <row r="32" customFormat="false" ht="15" hidden="false" customHeight="false" outlineLevel="0" collapsed="false">
      <c r="A32" s="4"/>
      <c r="B32" s="5"/>
      <c r="C32" s="5"/>
      <c r="D32" s="6" t="str">
        <f aca="false">IF($A32="","",B32+C32)</f>
        <v/>
      </c>
      <c r="E32" s="7"/>
      <c r="F32" s="8" t="str">
        <f aca="false">IF($A32="","",IF(E32&gt;=1,"pon % menor a 100",D32/(1-E32)))</f>
        <v/>
      </c>
      <c r="G32" s="5"/>
      <c r="H32" s="6" t="str">
        <f aca="false">IF($A32="","",IF(G32=0,"",G32-D32))</f>
        <v/>
      </c>
      <c r="I32" s="9" t="str">
        <f aca="false">IF($A32="","",IF(G32=0,"",(G32-D32)/G32))</f>
        <v/>
      </c>
    </row>
    <row r="33" customFormat="false" ht="15" hidden="false" customHeight="false" outlineLevel="0" collapsed="false">
      <c r="A33" s="4"/>
      <c r="B33" s="5"/>
      <c r="C33" s="5"/>
      <c r="D33" s="6" t="str">
        <f aca="false">IF($A33="","",B33+C33)</f>
        <v/>
      </c>
      <c r="E33" s="7"/>
      <c r="F33" s="8" t="str">
        <f aca="false">IF($A33="","",IF(E33&gt;=1,"pon % menor a 100",D33/(1-E33)))</f>
        <v/>
      </c>
      <c r="G33" s="5"/>
      <c r="H33" s="6" t="str">
        <f aca="false">IF($A33="","",IF(G33=0,"",G33-D33))</f>
        <v/>
      </c>
      <c r="I33" s="9" t="str">
        <f aca="false">IF($A33="","",IF(G33=0,"",(G33-D33)/G33))</f>
        <v/>
      </c>
    </row>
    <row r="34" customFormat="false" ht="15" hidden="false" customHeight="false" outlineLevel="0" collapsed="false">
      <c r="A34" s="4"/>
      <c r="B34" s="5"/>
      <c r="C34" s="5"/>
      <c r="D34" s="6" t="str">
        <f aca="false">IF($A34="","",B34+C34)</f>
        <v/>
      </c>
      <c r="E34" s="7"/>
      <c r="F34" s="8" t="str">
        <f aca="false">IF($A34="","",IF(E34&gt;=1,"pon % menor a 100",D34/(1-E34)))</f>
        <v/>
      </c>
      <c r="G34" s="5"/>
      <c r="H34" s="6" t="str">
        <f aca="false">IF($A34="","",IF(G34=0,"",G34-D34))</f>
        <v/>
      </c>
      <c r="I34" s="9" t="str">
        <f aca="false">IF($A34="","",IF(G34=0,"",(G34-D34)/G34))</f>
        <v/>
      </c>
    </row>
    <row r="35" customFormat="false" ht="15" hidden="false" customHeight="false" outlineLevel="0" collapsed="false">
      <c r="A35" s="4"/>
      <c r="B35" s="5"/>
      <c r="C35" s="5"/>
      <c r="D35" s="6" t="str">
        <f aca="false">IF($A35="","",B35+C35)</f>
        <v/>
      </c>
      <c r="E35" s="7"/>
      <c r="F35" s="8" t="str">
        <f aca="false">IF($A35="","",IF(E35&gt;=1,"pon % menor a 100",D35/(1-E35)))</f>
        <v/>
      </c>
      <c r="G35" s="5"/>
      <c r="H35" s="6" t="str">
        <f aca="false">IF($A35="","",IF(G35=0,"",G35-D35))</f>
        <v/>
      </c>
      <c r="I35" s="9" t="str">
        <f aca="false">IF($A35="","",IF(G35=0,"",(G35-D35)/G35))</f>
        <v/>
      </c>
    </row>
    <row r="36" customFormat="false" ht="15" hidden="false" customHeight="false" outlineLevel="0" collapsed="false">
      <c r="A36" s="4"/>
      <c r="B36" s="5"/>
      <c r="C36" s="5"/>
      <c r="D36" s="6" t="str">
        <f aca="false">IF($A36="","",B36+C36)</f>
        <v/>
      </c>
      <c r="E36" s="7"/>
      <c r="F36" s="8" t="str">
        <f aca="false">IF($A36="","",IF(E36&gt;=1,"pon % menor a 100",D36/(1-E36)))</f>
        <v/>
      </c>
      <c r="G36" s="5"/>
      <c r="H36" s="6" t="str">
        <f aca="false">IF($A36="","",IF(G36=0,"",G36-D36))</f>
        <v/>
      </c>
      <c r="I36" s="9" t="str">
        <f aca="false">IF($A36="","",IF(G36=0,"",(G36-D36)/G36))</f>
        <v/>
      </c>
    </row>
    <row r="37" customFormat="false" ht="15" hidden="false" customHeight="false" outlineLevel="0" collapsed="false">
      <c r="A37" s="4"/>
      <c r="B37" s="5"/>
      <c r="C37" s="5"/>
      <c r="D37" s="6" t="str">
        <f aca="false">IF($A37="","",B37+C37)</f>
        <v/>
      </c>
      <c r="E37" s="7"/>
      <c r="F37" s="8" t="str">
        <f aca="false">IF($A37="","",IF(E37&gt;=1,"pon % menor a 100",D37/(1-E37)))</f>
        <v/>
      </c>
      <c r="G37" s="5"/>
      <c r="H37" s="6" t="str">
        <f aca="false">IF($A37="","",IF(G37=0,"",G37-D37))</f>
        <v/>
      </c>
      <c r="I37" s="9" t="str">
        <f aca="false">IF($A37="","",IF(G37=0,"",(G37-D37)/G37))</f>
        <v/>
      </c>
    </row>
    <row r="38" customFormat="false" ht="15" hidden="false" customHeight="false" outlineLevel="0" collapsed="false">
      <c r="A38" s="4"/>
      <c r="B38" s="5"/>
      <c r="C38" s="5"/>
      <c r="D38" s="6" t="str">
        <f aca="false">IF($A38="","",B38+C38)</f>
        <v/>
      </c>
      <c r="E38" s="7"/>
      <c r="F38" s="8" t="str">
        <f aca="false">IF($A38="","",IF(E38&gt;=1,"pon % menor a 100",D38/(1-E38)))</f>
        <v/>
      </c>
      <c r="G38" s="5"/>
      <c r="H38" s="6" t="str">
        <f aca="false">IF($A38="","",IF(G38=0,"",G38-D38))</f>
        <v/>
      </c>
      <c r="I38" s="9" t="str">
        <f aca="false">IF($A38="","",IF(G38=0,"",(G38-D38)/G38))</f>
        <v/>
      </c>
    </row>
    <row r="39" customFormat="false" ht="15" hidden="false" customHeight="false" outlineLevel="0" collapsed="false">
      <c r="A39" s="4"/>
      <c r="B39" s="5"/>
      <c r="C39" s="5"/>
      <c r="D39" s="6" t="str">
        <f aca="false">IF($A39="","",B39+C39)</f>
        <v/>
      </c>
      <c r="E39" s="7"/>
      <c r="F39" s="8" t="str">
        <f aca="false">IF($A39="","",IF(E39&gt;=1,"pon % menor a 100",D39/(1-E39)))</f>
        <v/>
      </c>
      <c r="G39" s="5"/>
      <c r="H39" s="6" t="str">
        <f aca="false">IF($A39="","",IF(G39=0,"",G39-D39))</f>
        <v/>
      </c>
      <c r="I39" s="9" t="str">
        <f aca="false">IF($A39="","",IF(G39=0,"",(G39-D39)/G39))</f>
        <v/>
      </c>
    </row>
    <row r="40" customFormat="false" ht="15" hidden="false" customHeight="false" outlineLevel="0" collapsed="false">
      <c r="A40" s="4"/>
      <c r="B40" s="5"/>
      <c r="C40" s="5"/>
      <c r="D40" s="6" t="str">
        <f aca="false">IF($A40="","",B40+C40)</f>
        <v/>
      </c>
      <c r="E40" s="7"/>
      <c r="F40" s="8" t="str">
        <f aca="false">IF($A40="","",IF(E40&gt;=1,"pon % menor a 100",D40/(1-E40)))</f>
        <v/>
      </c>
      <c r="G40" s="5"/>
      <c r="H40" s="6" t="str">
        <f aca="false">IF($A40="","",IF(G40=0,"",G40-D40))</f>
        <v/>
      </c>
      <c r="I40" s="9" t="str">
        <f aca="false">IF($A40="","",IF(G40=0,"",(G40-D40)/G40))</f>
        <v/>
      </c>
    </row>
    <row r="41" customFormat="false" ht="15" hidden="false" customHeight="false" outlineLevel="0" collapsed="false">
      <c r="A41" s="4"/>
      <c r="B41" s="5"/>
      <c r="C41" s="5"/>
      <c r="D41" s="6" t="str">
        <f aca="false">IF($A41="","",B41+C41)</f>
        <v/>
      </c>
      <c r="E41" s="7"/>
      <c r="F41" s="8" t="str">
        <f aca="false">IF($A41="","",IF(E41&gt;=1,"pon % menor a 100",D41/(1-E41)))</f>
        <v/>
      </c>
      <c r="G41" s="5"/>
      <c r="H41" s="6" t="str">
        <f aca="false">IF($A41="","",IF(G41=0,"",G41-D41))</f>
        <v/>
      </c>
      <c r="I41" s="9" t="str">
        <f aca="false">IF($A41="","",IF(G41=0,"",(G41-D41)/G41))</f>
        <v/>
      </c>
    </row>
    <row r="42" customFormat="false" ht="15" hidden="false" customHeight="false" outlineLevel="0" collapsed="false">
      <c r="A42" s="4"/>
      <c r="B42" s="5"/>
      <c r="C42" s="5"/>
      <c r="D42" s="6" t="str">
        <f aca="false">IF($A42="","",B42+C42)</f>
        <v/>
      </c>
      <c r="E42" s="7"/>
      <c r="F42" s="8" t="str">
        <f aca="false">IF($A42="","",IF(E42&gt;=1,"pon % menor a 100",D42/(1-E42)))</f>
        <v/>
      </c>
      <c r="G42" s="5"/>
      <c r="H42" s="6" t="str">
        <f aca="false">IF($A42="","",IF(G42=0,"",G42-D42))</f>
        <v/>
      </c>
      <c r="I42" s="9" t="str">
        <f aca="false">IF($A42="","",IF(G42=0,"",(G42-D42)/G42))</f>
        <v/>
      </c>
    </row>
    <row r="43" customFormat="false" ht="15" hidden="false" customHeight="false" outlineLevel="0" collapsed="false">
      <c r="A43" s="4"/>
      <c r="B43" s="5"/>
      <c r="C43" s="5"/>
      <c r="D43" s="6" t="str">
        <f aca="false">IF($A43="","",B43+C43)</f>
        <v/>
      </c>
      <c r="E43" s="7"/>
      <c r="F43" s="8" t="str">
        <f aca="false">IF($A43="","",IF(E43&gt;=1,"pon % menor a 100",D43/(1-E43)))</f>
        <v/>
      </c>
      <c r="G43" s="5"/>
      <c r="H43" s="6" t="str">
        <f aca="false">IF($A43="","",IF(G43=0,"",G43-D43))</f>
        <v/>
      </c>
      <c r="I43" s="9" t="str">
        <f aca="false">IF($A43="","",IF(G43=0,"",(G43-D43)/G43))</f>
        <v/>
      </c>
    </row>
    <row r="44" customFormat="false" ht="15" hidden="false" customHeight="false" outlineLevel="0" collapsed="false">
      <c r="A44" s="4"/>
      <c r="B44" s="5"/>
      <c r="C44" s="5"/>
      <c r="D44" s="6" t="str">
        <f aca="false">IF($A44="","",B44+C44)</f>
        <v/>
      </c>
      <c r="E44" s="7"/>
      <c r="F44" s="8" t="str">
        <f aca="false">IF($A44="","",IF(E44&gt;=1,"pon % menor a 100",D44/(1-E44)))</f>
        <v/>
      </c>
      <c r="G44" s="5"/>
      <c r="H44" s="6" t="str">
        <f aca="false">IF($A44="","",IF(G44=0,"",G44-D44))</f>
        <v/>
      </c>
      <c r="I44" s="9" t="str">
        <f aca="false">IF($A44="","",IF(G44=0,"",(G44-D44)/G44))</f>
        <v/>
      </c>
    </row>
    <row r="45" customFormat="false" ht="15" hidden="false" customHeight="false" outlineLevel="0" collapsed="false">
      <c r="A45" s="4"/>
      <c r="B45" s="5"/>
      <c r="C45" s="5"/>
      <c r="D45" s="6" t="str">
        <f aca="false">IF($A45="","",B45+C45)</f>
        <v/>
      </c>
      <c r="E45" s="7"/>
      <c r="F45" s="8" t="str">
        <f aca="false">IF($A45="","",IF(E45&gt;=1,"pon % menor a 100",D45/(1-E45)))</f>
        <v/>
      </c>
      <c r="G45" s="5"/>
      <c r="H45" s="6" t="str">
        <f aca="false">IF($A45="","",IF(G45=0,"",G45-D45))</f>
        <v/>
      </c>
      <c r="I45" s="9" t="str">
        <f aca="false">IF($A45="","",IF(G45=0,"",(G45-D45)/G45))</f>
        <v/>
      </c>
    </row>
    <row r="46" customFormat="false" ht="15" hidden="false" customHeight="false" outlineLevel="0" collapsed="false">
      <c r="A46" s="4"/>
      <c r="B46" s="5"/>
      <c r="C46" s="5"/>
      <c r="D46" s="6" t="str">
        <f aca="false">IF($A46="","",B46+C46)</f>
        <v/>
      </c>
      <c r="E46" s="7"/>
      <c r="F46" s="8" t="str">
        <f aca="false">IF($A46="","",IF(E46&gt;=1,"pon % menor a 100",D46/(1-E46)))</f>
        <v/>
      </c>
      <c r="G46" s="5"/>
      <c r="H46" s="6" t="str">
        <f aca="false">IF($A46="","",IF(G46=0,"",G46-D46))</f>
        <v/>
      </c>
      <c r="I46" s="9" t="str">
        <f aca="false">IF($A46="","",IF(G46=0,"",(G46-D46)/G46))</f>
        <v/>
      </c>
    </row>
    <row r="47" customFormat="false" ht="15" hidden="false" customHeight="false" outlineLevel="0" collapsed="false">
      <c r="A47" s="4"/>
      <c r="B47" s="5"/>
      <c r="C47" s="5"/>
      <c r="D47" s="6" t="str">
        <f aca="false">IF($A47="","",B47+C47)</f>
        <v/>
      </c>
      <c r="E47" s="7"/>
      <c r="F47" s="8" t="str">
        <f aca="false">IF($A47="","",IF(E47&gt;=1,"pon % menor a 100",D47/(1-E47)))</f>
        <v/>
      </c>
      <c r="G47" s="5"/>
      <c r="H47" s="6" t="str">
        <f aca="false">IF($A47="","",IF(G47=0,"",G47-D47))</f>
        <v/>
      </c>
      <c r="I47" s="9" t="str">
        <f aca="false">IF($A47="","",IF(G47=0,"",(G47-D47)/G47))</f>
        <v/>
      </c>
    </row>
    <row r="48" customFormat="false" ht="15" hidden="false" customHeight="false" outlineLevel="0" collapsed="false">
      <c r="A48" s="4"/>
      <c r="B48" s="5"/>
      <c r="C48" s="5"/>
      <c r="D48" s="6" t="str">
        <f aca="false">IF($A48="","",B48+C48)</f>
        <v/>
      </c>
      <c r="E48" s="7"/>
      <c r="F48" s="8" t="str">
        <f aca="false">IF($A48="","",IF(E48&gt;=1,"pon % menor a 100",D48/(1-E48)))</f>
        <v/>
      </c>
      <c r="G48" s="5"/>
      <c r="H48" s="6" t="str">
        <f aca="false">IF($A48="","",IF(G48=0,"",G48-D48))</f>
        <v/>
      </c>
      <c r="I48" s="9" t="str">
        <f aca="false">IF($A48="","",IF(G48=0,"",(G48-D48)/G48))</f>
        <v/>
      </c>
    </row>
    <row r="49" customFormat="false" ht="15" hidden="false" customHeight="false" outlineLevel="0" collapsed="false">
      <c r="A49" s="4"/>
      <c r="B49" s="5"/>
      <c r="C49" s="5"/>
      <c r="D49" s="6" t="str">
        <f aca="false">IF($A49="","",B49+C49)</f>
        <v/>
      </c>
      <c r="E49" s="7"/>
      <c r="F49" s="8" t="str">
        <f aca="false">IF($A49="","",IF(E49&gt;=1,"pon % menor a 100",D49/(1-E49)))</f>
        <v/>
      </c>
      <c r="G49" s="5"/>
      <c r="H49" s="6" t="str">
        <f aca="false">IF($A49="","",IF(G49=0,"",G49-D49))</f>
        <v/>
      </c>
      <c r="I49" s="9" t="str">
        <f aca="false">IF($A49="","",IF(G49=0,"",(G49-D49)/G49))</f>
        <v/>
      </c>
    </row>
    <row r="50" customFormat="false" ht="15" hidden="false" customHeight="false" outlineLevel="0" collapsed="false">
      <c r="A50" s="4"/>
      <c r="B50" s="5"/>
      <c r="C50" s="5"/>
      <c r="D50" s="6" t="str">
        <f aca="false">IF($A50="","",B50+C50)</f>
        <v/>
      </c>
      <c r="E50" s="7"/>
      <c r="F50" s="8" t="str">
        <f aca="false">IF($A50="","",IF(E50&gt;=1,"pon % menor a 100",D50/(1-E50)))</f>
        <v/>
      </c>
      <c r="G50" s="5"/>
      <c r="H50" s="6" t="str">
        <f aca="false">IF($A50="","",IF(G50=0,"",G50-D50))</f>
        <v/>
      </c>
      <c r="I50" s="9" t="str">
        <f aca="false">IF($A50="","",IF(G50=0,"",(G50-D50)/G50))</f>
        <v/>
      </c>
    </row>
    <row r="51" customFormat="false" ht="15" hidden="false" customHeight="false" outlineLevel="0" collapsed="false">
      <c r="A51" s="4"/>
      <c r="B51" s="5"/>
      <c r="C51" s="5"/>
      <c r="D51" s="6" t="str">
        <f aca="false">IF($A51="","",B51+C51)</f>
        <v/>
      </c>
      <c r="E51" s="7"/>
      <c r="F51" s="8" t="str">
        <f aca="false">IF($A51="","",IF(E51&gt;=1,"pon % menor a 100",D51/(1-E51)))</f>
        <v/>
      </c>
      <c r="G51" s="5"/>
      <c r="H51" s="6" t="str">
        <f aca="false">IF($A51="","",IF(G51=0,"",G51-D51))</f>
        <v/>
      </c>
      <c r="I51" s="9" t="str">
        <f aca="false">IF($A51="","",IF(G51=0,"",(G51-D51)/G51))</f>
        <v/>
      </c>
    </row>
    <row r="52" customFormat="false" ht="15" hidden="false" customHeight="false" outlineLevel="0" collapsed="false">
      <c r="A52" s="4"/>
      <c r="B52" s="5"/>
      <c r="C52" s="5"/>
      <c r="D52" s="6" t="str">
        <f aca="false">IF($A52="","",B52+C52)</f>
        <v/>
      </c>
      <c r="E52" s="7"/>
      <c r="F52" s="8" t="str">
        <f aca="false">IF($A52="","",IF(E52&gt;=1,"pon % menor a 100",D52/(1-E52)))</f>
        <v/>
      </c>
      <c r="G52" s="5"/>
      <c r="H52" s="6" t="str">
        <f aca="false">IF($A52="","",IF(G52=0,"",G52-D52))</f>
        <v/>
      </c>
      <c r="I52" s="9" t="str">
        <f aca="false">IF($A52="","",IF(G52=0,"",(G52-D52)/G52))</f>
        <v/>
      </c>
    </row>
    <row r="53" customFormat="false" ht="15" hidden="false" customHeight="false" outlineLevel="0" collapsed="false">
      <c r="A53" s="4"/>
      <c r="B53" s="5"/>
      <c r="C53" s="5"/>
      <c r="D53" s="6" t="str">
        <f aca="false">IF($A53="","",B53+C53)</f>
        <v/>
      </c>
      <c r="E53" s="7"/>
      <c r="F53" s="8" t="str">
        <f aca="false">IF($A53="","",IF(E53&gt;=1,"pon % menor a 100",D53/(1-E53)))</f>
        <v/>
      </c>
      <c r="G53" s="5"/>
      <c r="H53" s="6" t="str">
        <f aca="false">IF($A53="","",IF(G53=0,"",G53-D53))</f>
        <v/>
      </c>
      <c r="I53" s="9" t="str">
        <f aca="false">IF($A53="","",IF(G53=0,"",(G53-D53)/G53))</f>
        <v/>
      </c>
    </row>
    <row r="54" customFormat="false" ht="15" hidden="false" customHeight="false" outlineLevel="0" collapsed="false">
      <c r="A54" s="4"/>
      <c r="B54" s="5"/>
      <c r="C54" s="5"/>
      <c r="D54" s="6" t="str">
        <f aca="false">IF($A54="","",B54+C54)</f>
        <v/>
      </c>
      <c r="E54" s="7"/>
      <c r="F54" s="8" t="str">
        <f aca="false">IF($A54="","",IF(E54&gt;=1,"pon % menor a 100",D54/(1-E54)))</f>
        <v/>
      </c>
      <c r="G54" s="5"/>
      <c r="H54" s="6" t="str">
        <f aca="false">IF($A54="","",IF(G54=0,"",G54-D54))</f>
        <v/>
      </c>
      <c r="I54" s="9" t="str">
        <f aca="false">IF($A54="","",IF(G54=0,"",(G54-D54)/G54))</f>
        <v/>
      </c>
    </row>
    <row r="56" customFormat="false" ht="15" hidden="false" customHeight="false" outlineLevel="0" collapsed="false">
      <c r="A56" s="10" t="s">
        <v>14</v>
      </c>
    </row>
    <row r="57" customFormat="false" ht="15" hidden="false" customHeight="false" outlineLevel="0" collapsed="false">
      <c r="A57" s="11" t="s">
        <v>15</v>
      </c>
    </row>
    <row r="58" customFormat="false" ht="15" hidden="false" customHeight="false" outlineLevel="0" collapsed="false">
      <c r="A58" s="11" t="s">
        <v>16</v>
      </c>
    </row>
    <row r="59" customFormat="false" ht="15" hidden="false" customHeight="false" outlineLevel="0" collapsed="false">
      <c r="A59" s="11" t="s">
        <v>17</v>
      </c>
    </row>
    <row r="60" customFormat="false" ht="15" hidden="false" customHeight="false" outlineLevel="0" collapsed="false">
      <c r="A60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</cols>
  <sheetData>
    <row r="1" customFormat="false" ht="19.7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10" t="s">
        <v>21</v>
      </c>
    </row>
    <row r="5" customFormat="false" ht="15" hidden="false" customHeight="false" outlineLevel="0" collapsed="false">
      <c r="A5" s="12" t="s">
        <v>22</v>
      </c>
      <c r="B5" s="5" t="n">
        <v>400000</v>
      </c>
    </row>
    <row r="6" customFormat="false" ht="15" hidden="false" customHeight="false" outlineLevel="0" collapsed="false">
      <c r="A6" s="12" t="s">
        <v>23</v>
      </c>
      <c r="B6" s="5" t="n">
        <v>0</v>
      </c>
    </row>
    <row r="7" customFormat="false" ht="15" hidden="false" customHeight="false" outlineLevel="0" collapsed="false">
      <c r="A7" s="12" t="s">
        <v>24</v>
      </c>
      <c r="B7" s="5" t="n">
        <v>180000</v>
      </c>
    </row>
    <row r="8" customFormat="false" ht="15" hidden="false" customHeight="false" outlineLevel="0" collapsed="false">
      <c r="A8" s="12" t="s">
        <v>25</v>
      </c>
      <c r="B8" s="5" t="n">
        <v>0</v>
      </c>
    </row>
    <row r="9" customFormat="false" ht="15" hidden="false" customHeight="false" outlineLevel="0" collapsed="false">
      <c r="A9" s="12" t="s">
        <v>26</v>
      </c>
      <c r="B9" s="5" t="n">
        <v>50000</v>
      </c>
    </row>
    <row r="10" customFormat="false" ht="15" hidden="false" customHeight="false" outlineLevel="0" collapsed="false">
      <c r="A10" s="10" t="s">
        <v>27</v>
      </c>
      <c r="B10" s="13" t="n">
        <f aca="false">SUM(B5:B9)</f>
        <v>630000</v>
      </c>
    </row>
    <row r="12" customFormat="false" ht="15" hidden="false" customHeight="false" outlineLevel="0" collapsed="false">
      <c r="A12" s="10" t="s">
        <v>28</v>
      </c>
    </row>
    <row r="13" customFormat="false" ht="15" hidden="false" customHeight="false" outlineLevel="0" collapsed="false">
      <c r="A13" s="12" t="s">
        <v>29</v>
      </c>
      <c r="B13" s="5" t="n">
        <v>8000</v>
      </c>
    </row>
    <row r="14" customFormat="false" ht="15" hidden="false" customHeight="false" outlineLevel="0" collapsed="false">
      <c r="A14" s="12" t="s">
        <v>30</v>
      </c>
      <c r="B14" s="5" t="n">
        <v>5000</v>
      </c>
    </row>
    <row r="15" customFormat="false" ht="15" hidden="false" customHeight="false" outlineLevel="0" collapsed="false">
      <c r="A15" s="10" t="s">
        <v>31</v>
      </c>
      <c r="B15" s="13" t="n">
        <f aca="false">B13-B14</f>
        <v>3000</v>
      </c>
    </row>
    <row r="17" customFormat="false" ht="15" hidden="false" customHeight="false" outlineLevel="0" collapsed="false">
      <c r="A17" s="10" t="s">
        <v>32</v>
      </c>
    </row>
    <row r="18" customFormat="false" ht="15" hidden="false" customHeight="false" outlineLevel="0" collapsed="false">
      <c r="A18" s="10" t="s">
        <v>33</v>
      </c>
      <c r="B18" s="14" t="n">
        <f aca="false">IF(B15&lt;=0,"revisa precios",ROUNDUP(B10/B15,0))</f>
        <v>210</v>
      </c>
    </row>
    <row r="19" customFormat="false" ht="15" hidden="false" customHeight="false" outlineLevel="0" collapsed="false">
      <c r="A19" s="11" t="s">
        <v>34</v>
      </c>
      <c r="B19" s="15" t="n">
        <f aca="false">IF(B15&lt;=0,"",ROUNDUP(B18/30,0))</f>
        <v>7</v>
      </c>
    </row>
    <row r="21" customFormat="false" ht="15" hidden="false" customHeight="false" outlineLevel="0" collapsed="false">
      <c r="A21" s="2" t="s">
        <v>35</v>
      </c>
    </row>
    <row r="22" customFormat="false" ht="15" hidden="false" customHeight="false" outlineLevel="0" collapsed="false">
      <c r="A22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2026-07-22T19:28:47Z</dcterms:created>
  <dc:creator>openpyxl</dc:creator>
  <dc:description/>
  <dc:language>en-US</dc:language>
  <cp:lastModifiedBy/>
  <dcterms:modified xsi:type="dcterms:W3CDTF">2026-07-22T19:28:47Z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