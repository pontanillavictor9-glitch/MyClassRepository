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  <sheet name="Movimien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<sst xmlns="http://schemas.openxmlformats.org/spreadsheetml/2006/main" count="43" uniqueCount="34">
  <si>
    <t xml:space="preserve">CONTROL DE INVENTARIO</t>
  </si>
  <si>
    <t xml:space="preserve">Registra tus productos aquí y cada entrada/salida en la hoja 'Movimientos'. El stock se actualiza solo.</t>
  </si>
  <si>
    <t xml:space="preserve">Código</t>
  </si>
  <si>
    <t xml:space="preserve">Producto</t>
  </si>
  <si>
    <t xml:space="preserve">Categoría</t>
  </si>
  <si>
    <t xml:space="preserve">Costo unitario</t>
  </si>
  <si>
    <t xml:space="preserve">Precio de venta</t>
  </si>
  <si>
    <t xml:space="preserve">Stock inicial</t>
  </si>
  <si>
    <t xml:space="preserve">Entradas</t>
  </si>
  <si>
    <t xml:space="preserve">Salidas</t>
  </si>
  <si>
    <t xml:space="preserve">Stock actual</t>
  </si>
  <si>
    <t xml:space="preserve">Stock mínimo</t>
  </si>
  <si>
    <t xml:space="preserve">Alerta</t>
  </si>
  <si>
    <t xml:space="preserve">Valor del inventario</t>
  </si>
  <si>
    <t xml:space="preserve">P001</t>
  </si>
  <si>
    <t xml:space="preserve">Arroz 500 g</t>
  </si>
  <si>
    <t xml:space="preserve">Granos</t>
  </si>
  <si>
    <t xml:space="preserve">P002</t>
  </si>
  <si>
    <t xml:space="preserve">Aceite 1 L</t>
  </si>
  <si>
    <t xml:space="preserve">Aceites</t>
  </si>
  <si>
    <t xml:space="preserve">P003</t>
  </si>
  <si>
    <t xml:space="preserve">Jabón de baño</t>
  </si>
  <si>
    <t xml:space="preserve">Aseo</t>
  </si>
  <si>
    <t xml:space="preserve">TOTAL VALOR DEL INVENTARIO</t>
  </si>
  <si>
    <t xml:space="preserve">CÓMO USAR:</t>
  </si>
  <si>
    <t xml:space="preserve">• Escribe solo en las celdas amarillas. Las demás columnas calculan solas — no las borres ni escribas encima.</t>
  </si>
  <si>
    <t xml:space="preserve">• Las primeras filas traen datos de ejemplo: bórralos y escribe los de tu negocio con el mismo formato.</t>
  </si>
  <si>
    <t xml:space="preserve">MOVIMIENTOS DE INVENTARIO</t>
  </si>
  <si>
    <t xml:space="preserve">Cada vez que compres (Entrada) o vendas (Salida) un producto, anótalo aquí.</t>
  </si>
  <si>
    <t xml:space="preserve">Fecha</t>
  </si>
  <si>
    <t xml:space="preserve">Tipo</t>
  </si>
  <si>
    <t xml:space="preserve">Cantidad</t>
  </si>
  <si>
    <t xml:space="preserve">Entrada</t>
  </si>
  <si>
    <t xml:space="preserve">Salida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</si>
</sst>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General"/>
    <numFmt numFmtId="167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5" t="n">
        <v>1800</v>
      </c>
      <c r="E5" s="5" t="n">
        <v>2500</v>
      </c>
      <c r="F5" s="6" t="n">
        <v>30</v>
      </c>
      <c r="G5" s="7" t="n">
        <f aca="false">IF($A5="","",SUMIFS(Movimientos!$E$5:$E$504,Movimientos!$B$5:$B$504,$A5,Movimientos!$D$5:$D$504,"Entrada"))</f>
        <v>20</v>
      </c>
      <c r="H5" s="7" t="n">
        <f aca="false">IF($A5="","",SUMIFS(Movimientos!$E$5:$E$504,Movimientos!$B$5:$B$504,$A5,Movimientos!$D$5:$D$504,"Salida"))</f>
        <v>5</v>
      </c>
      <c r="I5" s="7" t="n">
        <f aca="false">IF($A5="","",F5+G5-H5)</f>
        <v>45</v>
      </c>
      <c r="J5" s="6" t="n">
        <v>10</v>
      </c>
      <c r="K5" s="8" t="str">
        <f aca="false">IF($A5="","",IF(I5&lt;=J5,"REPONER",""))</f>
        <v/>
      </c>
      <c r="L5" s="9" t="n">
        <f aca="false">IF($A5="","",I5*D5)</f>
        <v>81000</v>
      </c>
    </row>
    <row r="6" customFormat="false" ht="15" hidden="false" customHeight="false" outlineLevel="0" collapsed="false">
      <c r="A6" s="4" t="s">
        <v>17</v>
      </c>
      <c r="B6" s="4" t="s">
        <v>18</v>
      </c>
      <c r="C6" s="4" t="s">
        <v>19</v>
      </c>
      <c r="D6" s="5" t="n">
        <v>8500</v>
      </c>
      <c r="E6" s="5" t="n">
        <v>11000</v>
      </c>
      <c r="F6" s="6" t="n">
        <v>12</v>
      </c>
      <c r="G6" s="7" t="n">
        <f aca="false">IF($A6="","",SUMIFS(Movimientos!$E$5:$E$504,Movimientos!$B$5:$B$504,$A6,Movimientos!$D$5:$D$504,"Entrada"))</f>
        <v>0</v>
      </c>
      <c r="H6" s="7" t="n">
        <f aca="false">IF($A6="","",SUMIFS(Movimientos!$E$5:$E$504,Movimientos!$B$5:$B$504,$A6,Movimientos!$D$5:$D$504,"Salida"))</f>
        <v>2</v>
      </c>
      <c r="I6" s="7" t="n">
        <f aca="false">IF($A6="","",F6+G6-H6)</f>
        <v>10</v>
      </c>
      <c r="J6" s="6" t="n">
        <v>5</v>
      </c>
      <c r="K6" s="8" t="str">
        <f aca="false">IF($A6="","",IF(I6&lt;=J6,"REPONER",""))</f>
        <v/>
      </c>
      <c r="L6" s="9" t="n">
        <f aca="false">IF($A6="","",I6*D6)</f>
        <v>85000</v>
      </c>
    </row>
    <row r="7" customFormat="false" ht="15" hidden="false" customHeight="false" outlineLevel="0" collapsed="false">
      <c r="A7" s="4" t="s">
        <v>20</v>
      </c>
      <c r="B7" s="4" t="s">
        <v>21</v>
      </c>
      <c r="C7" s="4" t="s">
        <v>22</v>
      </c>
      <c r="D7" s="5" t="n">
        <v>2200</v>
      </c>
      <c r="E7" s="5" t="n">
        <v>3200</v>
      </c>
      <c r="F7" s="6" t="n">
        <v>24</v>
      </c>
      <c r="G7" s="7" t="n">
        <f aca="false">IF($A7="","",SUMIFS(Movimientos!$E$5:$E$504,Movimientos!$B$5:$B$504,$A7,Movimientos!$D$5:$D$504,"Entrada"))</f>
        <v>0</v>
      </c>
      <c r="H7" s="7" t="n">
        <f aca="false">IF($A7="","",SUMIFS(Movimientos!$E$5:$E$504,Movimientos!$B$5:$B$504,$A7,Movimientos!$D$5:$D$504,"Salida"))</f>
        <v>0</v>
      </c>
      <c r="I7" s="7" t="n">
        <f aca="false">IF($A7="","",F7+G7-H7)</f>
        <v>24</v>
      </c>
      <c r="J7" s="6" t="n">
        <v>8</v>
      </c>
      <c r="K7" s="8" t="str">
        <f aca="false">IF($A7="","",IF(I7&lt;=J7,"REPONER",""))</f>
        <v/>
      </c>
      <c r="L7" s="9" t="n">
        <f aca="false">IF($A7="","",I7*D7)</f>
        <v>52800</v>
      </c>
    </row>
    <row r="8" customFormat="false" ht="15" hidden="false" customHeight="false" outlineLevel="0" collapsed="false">
      <c r="A8" s="4"/>
      <c r="B8" s="4"/>
      <c r="C8" s="4"/>
      <c r="D8" s="5"/>
      <c r="E8" s="5"/>
      <c r="F8" s="6"/>
      <c r="G8" s="7" t="str">
        <f aca="false">IF($A8="","",SUMIFS(Movimientos!$E$5:$E$504,Movimientos!$B$5:$B$504,$A8,Movimientos!$D$5:$D$504,"Entrada"))</f>
        <v/>
      </c>
      <c r="H8" s="7" t="str">
        <f aca="false">IF($A8="","",SUMIFS(Movimientos!$E$5:$E$504,Movimientos!$B$5:$B$504,$A8,Movimientos!$D$5:$D$504,"Salida"))</f>
        <v/>
      </c>
      <c r="I8" s="7" t="str">
        <f aca="false">IF($A8="","",F8+G8-H8)</f>
        <v/>
      </c>
      <c r="J8" s="6"/>
      <c r="K8" s="8" t="str">
        <f aca="false">IF($A8="","",IF(I8&lt;=J8,"REPONER",""))</f>
        <v/>
      </c>
      <c r="L8" s="9" t="str">
        <f aca="false">IF($A8="","",I8*D8)</f>
        <v/>
      </c>
    </row>
    <row r="9" customFormat="false" ht="15" hidden="false" customHeight="false" outlineLevel="0" collapsed="false">
      <c r="A9" s="4"/>
      <c r="B9" s="4"/>
      <c r="C9" s="4"/>
      <c r="D9" s="5"/>
      <c r="E9" s="5"/>
      <c r="F9" s="6"/>
      <c r="G9" s="7" t="str">
        <f aca="false">IF($A9="","",SUMIFS(Movimientos!$E$5:$E$504,Movimientos!$B$5:$B$504,$A9,Movimientos!$D$5:$D$504,"Entrada"))</f>
        <v/>
      </c>
      <c r="H9" s="7" t="str">
        <f aca="false">IF($A9="","",SUMIFS(Movimientos!$E$5:$E$504,Movimientos!$B$5:$B$504,$A9,Movimientos!$D$5:$D$504,"Salida"))</f>
        <v/>
      </c>
      <c r="I9" s="7" t="str">
        <f aca="false">IF($A9="","",F9+G9-H9)</f>
        <v/>
      </c>
      <c r="J9" s="6"/>
      <c r="K9" s="8" t="str">
        <f aca="false">IF($A9="","",IF(I9&lt;=J9,"REPONER",""))</f>
        <v/>
      </c>
      <c r="L9" s="9" t="str">
        <f aca="false">IF($A9="","",I9*D9)</f>
        <v/>
      </c>
    </row>
    <row r="10" customFormat="false" ht="15" hidden="false" customHeight="false" outlineLevel="0" collapsed="false">
      <c r="A10" s="4"/>
      <c r="B10" s="4"/>
      <c r="C10" s="4"/>
      <c r="D10" s="5"/>
      <c r="E10" s="5"/>
      <c r="F10" s="6"/>
      <c r="G10" s="7" t="str">
        <f aca="false">IF($A10="","",SUMIFS(Movimientos!$E$5:$E$504,Movimientos!$B$5:$B$504,$A10,Movimientos!$D$5:$D$504,"Entrada"))</f>
        <v/>
      </c>
      <c r="H10" s="7" t="str">
        <f aca="false">IF($A10="","",SUMIFS(Movimientos!$E$5:$E$504,Movimientos!$B$5:$B$504,$A10,Movimientos!$D$5:$D$504,"Salida"))</f>
        <v/>
      </c>
      <c r="I10" s="7" t="str">
        <f aca="false">IF($A10="","",F10+G10-H10)</f>
        <v/>
      </c>
      <c r="J10" s="6"/>
      <c r="K10" s="8" t="str">
        <f aca="false">IF($A10="","",IF(I10&lt;=J10,"REPONER",""))</f>
        <v/>
      </c>
      <c r="L10" s="9" t="str">
        <f aca="false">IF($A10="","",I10*D10)</f>
        <v/>
      </c>
    </row>
    <row r="11" customFormat="false" ht="15" hidden="false" customHeight="false" outlineLevel="0" collapsed="false">
      <c r="A11" s="4"/>
      <c r="B11" s="4"/>
      <c r="C11" s="4"/>
      <c r="D11" s="5"/>
      <c r="E11" s="5"/>
      <c r="F11" s="6"/>
      <c r="G11" s="7" t="str">
        <f aca="false">IF($A11="","",SUMIFS(Movimientos!$E$5:$E$504,Movimientos!$B$5:$B$504,$A11,Movimientos!$D$5:$D$504,"Entrada"))</f>
        <v/>
      </c>
      <c r="H11" s="7" t="str">
        <f aca="false">IF($A11="","",SUMIFS(Movimientos!$E$5:$E$504,Movimientos!$B$5:$B$504,$A11,Movimientos!$D$5:$D$504,"Salida"))</f>
        <v/>
      </c>
      <c r="I11" s="7" t="str">
        <f aca="false">IF($A11="","",F11+G11-H11)</f>
        <v/>
      </c>
      <c r="J11" s="6"/>
      <c r="K11" s="8" t="str">
        <f aca="false">IF($A11="","",IF(I11&lt;=J11,"REPONER",""))</f>
        <v/>
      </c>
      <c r="L11" s="9" t="str">
        <f aca="false">IF($A11="","",I11*D11)</f>
        <v/>
      </c>
    </row>
    <row r="12" customFormat="false" ht="15" hidden="false" customHeight="false" outlineLevel="0" collapsed="false">
      <c r="A12" s="4"/>
      <c r="B12" s="4"/>
      <c r="C12" s="4"/>
      <c r="D12" s="5"/>
      <c r="E12" s="5"/>
      <c r="F12" s="6"/>
      <c r="G12" s="7" t="str">
        <f aca="false">IF($A12="","",SUMIFS(Movimientos!$E$5:$E$504,Movimientos!$B$5:$B$504,$A12,Movimientos!$D$5:$D$504,"Entrada"))</f>
        <v/>
      </c>
      <c r="H12" s="7" t="str">
        <f aca="false">IF($A12="","",SUMIFS(Movimientos!$E$5:$E$504,Movimientos!$B$5:$B$504,$A12,Movimientos!$D$5:$D$504,"Salida"))</f>
        <v/>
      </c>
      <c r="I12" s="7" t="str">
        <f aca="false">IF($A12="","",F12+G12-H12)</f>
        <v/>
      </c>
      <c r="J12" s="6"/>
      <c r="K12" s="8" t="str">
        <f aca="false">IF($A12="","",IF(I12&lt;=J12,"REPONER",""))</f>
        <v/>
      </c>
      <c r="L12" s="9" t="str">
        <f aca="false">IF($A12="","",I12*D12)</f>
        <v/>
      </c>
    </row>
    <row r="13" customFormat="false" ht="15" hidden="false" customHeight="false" outlineLevel="0" collapsed="false">
      <c r="A13" s="4"/>
      <c r="B13" s="4"/>
      <c r="C13" s="4"/>
      <c r="D13" s="5"/>
      <c r="E13" s="5"/>
      <c r="F13" s="6"/>
      <c r="G13" s="7" t="str">
        <f aca="false">IF($A13="","",SUMIFS(Movimientos!$E$5:$E$504,Movimientos!$B$5:$B$504,$A13,Movimientos!$D$5:$D$504,"Entrada"))</f>
        <v/>
      </c>
      <c r="H13" s="7" t="str">
        <f aca="false">IF($A13="","",SUMIFS(Movimientos!$E$5:$E$504,Movimientos!$B$5:$B$504,$A13,Movimientos!$D$5:$D$504,"Salida"))</f>
        <v/>
      </c>
      <c r="I13" s="7" t="str">
        <f aca="false">IF($A13="","",F13+G13-H13)</f>
        <v/>
      </c>
      <c r="J13" s="6"/>
      <c r="K13" s="8" t="str">
        <f aca="false">IF($A13="","",IF(I13&lt;=J13,"REPONER",""))</f>
        <v/>
      </c>
      <c r="L13" s="9" t="str">
        <f aca="false">IF($A13="","",I13*D13)</f>
        <v/>
      </c>
    </row>
    <row r="14" customFormat="false" ht="15" hidden="false" customHeight="false" outlineLevel="0" collapsed="false">
      <c r="A14" s="4"/>
      <c r="B14" s="4"/>
      <c r="C14" s="4"/>
      <c r="D14" s="5"/>
      <c r="E14" s="5"/>
      <c r="F14" s="6"/>
      <c r="G14" s="7" t="str">
        <f aca="false">IF($A14="","",SUMIFS(Movimientos!$E$5:$E$504,Movimientos!$B$5:$B$504,$A14,Movimientos!$D$5:$D$504,"Entrada"))</f>
        <v/>
      </c>
      <c r="H14" s="7" t="str">
        <f aca="false">IF($A14="","",SUMIFS(Movimientos!$E$5:$E$504,Movimientos!$B$5:$B$504,$A14,Movimientos!$D$5:$D$504,"Salida"))</f>
        <v/>
      </c>
      <c r="I14" s="7" t="str">
        <f aca="false">IF($A14="","",F14+G14-H14)</f>
        <v/>
      </c>
      <c r="J14" s="6"/>
      <c r="K14" s="8" t="str">
        <f aca="false">IF($A14="","",IF(I14&lt;=J14,"REPONER",""))</f>
        <v/>
      </c>
      <c r="L14" s="9" t="str">
        <f aca="false">IF($A14="","",I14*D14)</f>
        <v/>
      </c>
    </row>
    <row r="15" customFormat="false" ht="15" hidden="false" customHeight="false" outlineLevel="0" collapsed="false">
      <c r="A15" s="4"/>
      <c r="B15" s="4"/>
      <c r="C15" s="4"/>
      <c r="D15" s="5"/>
      <c r="E15" s="5"/>
      <c r="F15" s="6"/>
      <c r="G15" s="7" t="str">
        <f aca="false">IF($A15="","",SUMIFS(Movimientos!$E$5:$E$504,Movimientos!$B$5:$B$504,$A15,Movimientos!$D$5:$D$504,"Entrada"))</f>
        <v/>
      </c>
      <c r="H15" s="7" t="str">
        <f aca="false">IF($A15="","",SUMIFS(Movimientos!$E$5:$E$504,Movimientos!$B$5:$B$504,$A15,Movimientos!$D$5:$D$504,"Salida"))</f>
        <v/>
      </c>
      <c r="I15" s="7" t="str">
        <f aca="false">IF($A15="","",F15+G15-H15)</f>
        <v/>
      </c>
      <c r="J15" s="6"/>
      <c r="K15" s="8" t="str">
        <f aca="false">IF($A15="","",IF(I15&lt;=J15,"REPONER",""))</f>
        <v/>
      </c>
      <c r="L15" s="9" t="str">
        <f aca="false">IF($A15="","",I15*D15)</f>
        <v/>
      </c>
    </row>
    <row r="16" customFormat="false" ht="15" hidden="false" customHeight="false" outlineLevel="0" collapsed="false">
      <c r="A16" s="4"/>
      <c r="B16" s="4"/>
      <c r="C16" s="4"/>
      <c r="D16" s="5"/>
      <c r="E16" s="5"/>
      <c r="F16" s="6"/>
      <c r="G16" s="7" t="str">
        <f aca="false">IF($A16="","",SUMIFS(Movimientos!$E$5:$E$504,Movimientos!$B$5:$B$504,$A16,Movimientos!$D$5:$D$504,"Entrada"))</f>
        <v/>
      </c>
      <c r="H16" s="7" t="str">
        <f aca="false">IF($A16="","",SUMIFS(Movimientos!$E$5:$E$504,Movimientos!$B$5:$B$504,$A16,Movimientos!$D$5:$D$504,"Salida"))</f>
        <v/>
      </c>
      <c r="I16" s="7" t="str">
        <f aca="false">IF($A16="","",F16+G16-H16)</f>
        <v/>
      </c>
      <c r="J16" s="6"/>
      <c r="K16" s="8" t="str">
        <f aca="false">IF($A16="","",IF(I16&lt;=J16,"REPONER",""))</f>
        <v/>
      </c>
      <c r="L16" s="9" t="str">
        <f aca="false">IF($A16="","",I16*D16)</f>
        <v/>
      </c>
    </row>
    <row r="17" customFormat="false" ht="15" hidden="false" customHeight="false" outlineLevel="0" collapsed="false">
      <c r="A17" s="4"/>
      <c r="B17" s="4"/>
      <c r="C17" s="4"/>
      <c r="D17" s="5"/>
      <c r="E17" s="5"/>
      <c r="F17" s="6"/>
      <c r="G17" s="7" t="str">
        <f aca="false">IF($A17="","",SUMIFS(Movimientos!$E$5:$E$504,Movimientos!$B$5:$B$504,$A17,Movimientos!$D$5:$D$504,"Entrada"))</f>
        <v/>
      </c>
      <c r="H17" s="7" t="str">
        <f aca="false">IF($A17="","",SUMIFS(Movimientos!$E$5:$E$504,Movimientos!$B$5:$B$504,$A17,Movimientos!$D$5:$D$504,"Salida"))</f>
        <v/>
      </c>
      <c r="I17" s="7" t="str">
        <f aca="false">IF($A17="","",F17+G17-H17)</f>
        <v/>
      </c>
      <c r="J17" s="6"/>
      <c r="K17" s="8" t="str">
        <f aca="false">IF($A17="","",IF(I17&lt;=J17,"REPONER",""))</f>
        <v/>
      </c>
      <c r="L17" s="9" t="str">
        <f aca="false">IF($A17="","",I17*D17)</f>
        <v/>
      </c>
    </row>
    <row r="18" customFormat="false" ht="15" hidden="false" customHeight="false" outlineLevel="0" collapsed="false">
      <c r="A18" s="4"/>
      <c r="B18" s="4"/>
      <c r="C18" s="4"/>
      <c r="D18" s="5"/>
      <c r="E18" s="5"/>
      <c r="F18" s="6"/>
      <c r="G18" s="7" t="str">
        <f aca="false">IF($A18="","",SUMIFS(Movimientos!$E$5:$E$504,Movimientos!$B$5:$B$504,$A18,Movimientos!$D$5:$D$504,"Entrada"))</f>
        <v/>
      </c>
      <c r="H18" s="7" t="str">
        <f aca="false">IF($A18="","",SUMIFS(Movimientos!$E$5:$E$504,Movimientos!$B$5:$B$504,$A18,Movimientos!$D$5:$D$504,"Salida"))</f>
        <v/>
      </c>
      <c r="I18" s="7" t="str">
        <f aca="false">IF($A18="","",F18+G18-H18)</f>
        <v/>
      </c>
      <c r="J18" s="6"/>
      <c r="K18" s="8" t="str">
        <f aca="false">IF($A18="","",IF(I18&lt;=J18,"REPONER",""))</f>
        <v/>
      </c>
      <c r="L18" s="9" t="str">
        <f aca="false">IF($A18="","",I18*D18)</f>
        <v/>
      </c>
    </row>
    <row r="19" customFormat="false" ht="15" hidden="false" customHeight="false" outlineLevel="0" collapsed="false">
      <c r="A19" s="4"/>
      <c r="B19" s="4"/>
      <c r="C19" s="4"/>
      <c r="D19" s="5"/>
      <c r="E19" s="5"/>
      <c r="F19" s="6"/>
      <c r="G19" s="7" t="str">
        <f aca="false">IF($A19="","",SUMIFS(Movimientos!$E$5:$E$504,Movimientos!$B$5:$B$504,$A19,Movimientos!$D$5:$D$504,"Entrada"))</f>
        <v/>
      </c>
      <c r="H19" s="7" t="str">
        <f aca="false">IF($A19="","",SUMIFS(Movimientos!$E$5:$E$504,Movimientos!$B$5:$B$504,$A19,Movimientos!$D$5:$D$504,"Salida"))</f>
        <v/>
      </c>
      <c r="I19" s="7" t="str">
        <f aca="false">IF($A19="","",F19+G19-H19)</f>
        <v/>
      </c>
      <c r="J19" s="6"/>
      <c r="K19" s="8" t="str">
        <f aca="false">IF($A19="","",IF(I19&lt;=J19,"REPONER",""))</f>
        <v/>
      </c>
      <c r="L19" s="9" t="str">
        <f aca="false">IF($A19="","",I19*D19)</f>
        <v/>
      </c>
    </row>
    <row r="20" customFormat="false" ht="15" hidden="false" customHeight="false" outlineLevel="0" collapsed="false">
      <c r="A20" s="4"/>
      <c r="B20" s="4"/>
      <c r="C20" s="4"/>
      <c r="D20" s="5"/>
      <c r="E20" s="5"/>
      <c r="F20" s="6"/>
      <c r="G20" s="7" t="str">
        <f aca="false">IF($A20="","",SUMIFS(Movimientos!$E$5:$E$504,Movimientos!$B$5:$B$504,$A20,Movimientos!$D$5:$D$504,"Entrada"))</f>
        <v/>
      </c>
      <c r="H20" s="7" t="str">
        <f aca="false">IF($A20="","",SUMIFS(Movimientos!$E$5:$E$504,Movimientos!$B$5:$B$504,$A20,Movimientos!$D$5:$D$504,"Salida"))</f>
        <v/>
      </c>
      <c r="I20" s="7" t="str">
        <f aca="false">IF($A20="","",F20+G20-H20)</f>
        <v/>
      </c>
      <c r="J20" s="6"/>
      <c r="K20" s="8" t="str">
        <f aca="false">IF($A20="","",IF(I20&lt;=J20,"REPONER",""))</f>
        <v/>
      </c>
      <c r="L20" s="9" t="str">
        <f aca="false">IF($A20="","",I20*D20)</f>
        <v/>
      </c>
    </row>
    <row r="21" customFormat="false" ht="15" hidden="false" customHeight="false" outlineLevel="0" collapsed="false">
      <c r="A21" s="4"/>
      <c r="B21" s="4"/>
      <c r="C21" s="4"/>
      <c r="D21" s="5"/>
      <c r="E21" s="5"/>
      <c r="F21" s="6"/>
      <c r="G21" s="7" t="str">
        <f aca="false">IF($A21="","",SUMIFS(Movimientos!$E$5:$E$504,Movimientos!$B$5:$B$504,$A21,Movimientos!$D$5:$D$504,"Entrada"))</f>
        <v/>
      </c>
      <c r="H21" s="7" t="str">
        <f aca="false">IF($A21="","",SUMIFS(Movimientos!$E$5:$E$504,Movimientos!$B$5:$B$504,$A21,Movimientos!$D$5:$D$504,"Salida"))</f>
        <v/>
      </c>
      <c r="I21" s="7" t="str">
        <f aca="false">IF($A21="","",F21+G21-H21)</f>
        <v/>
      </c>
      <c r="J21" s="6"/>
      <c r="K21" s="8" t="str">
        <f aca="false">IF($A21="","",IF(I21&lt;=J21,"REPONER",""))</f>
        <v/>
      </c>
      <c r="L21" s="9" t="str">
        <f aca="false">IF($A21="","",I21*D21)</f>
        <v/>
      </c>
    </row>
    <row r="22" customFormat="false" ht="15" hidden="false" customHeight="false" outlineLevel="0" collapsed="false">
      <c r="A22" s="4"/>
      <c r="B22" s="4"/>
      <c r="C22" s="4"/>
      <c r="D22" s="5"/>
      <c r="E22" s="5"/>
      <c r="F22" s="6"/>
      <c r="G22" s="7" t="str">
        <f aca="false">IF($A22="","",SUMIFS(Movimientos!$E$5:$E$504,Movimientos!$B$5:$B$504,$A22,Movimientos!$D$5:$D$504,"Entrada"))</f>
        <v/>
      </c>
      <c r="H22" s="7" t="str">
        <f aca="false">IF($A22="","",SUMIFS(Movimientos!$E$5:$E$504,Movimientos!$B$5:$B$504,$A22,Movimientos!$D$5:$D$504,"Salida"))</f>
        <v/>
      </c>
      <c r="I22" s="7" t="str">
        <f aca="false">IF($A22="","",F22+G22-H22)</f>
        <v/>
      </c>
      <c r="J22" s="6"/>
      <c r="K22" s="8" t="str">
        <f aca="false">IF($A22="","",IF(I22&lt;=J22,"REPONER",""))</f>
        <v/>
      </c>
      <c r="L22" s="9" t="str">
        <f aca="false">IF($A22="","",I22*D22)</f>
        <v/>
      </c>
    </row>
    <row r="23" customFormat="false" ht="15" hidden="false" customHeight="false" outlineLevel="0" collapsed="false">
      <c r="A23" s="4"/>
      <c r="B23" s="4"/>
      <c r="C23" s="4"/>
      <c r="D23" s="5"/>
      <c r="E23" s="5"/>
      <c r="F23" s="6"/>
      <c r="G23" s="7" t="str">
        <f aca="false">IF($A23="","",SUMIFS(Movimientos!$E$5:$E$504,Movimientos!$B$5:$B$504,$A23,Movimientos!$D$5:$D$504,"Entrada"))</f>
        <v/>
      </c>
      <c r="H23" s="7" t="str">
        <f aca="false">IF($A23="","",SUMIFS(Movimientos!$E$5:$E$504,Movimientos!$B$5:$B$504,$A23,Movimientos!$D$5:$D$504,"Salida"))</f>
        <v/>
      </c>
      <c r="I23" s="7" t="str">
        <f aca="false">IF($A23="","",F23+G23-H23)</f>
        <v/>
      </c>
      <c r="J23" s="6"/>
      <c r="K23" s="8" t="str">
        <f aca="false">IF($A23="","",IF(I23&lt;=J23,"REPONER",""))</f>
        <v/>
      </c>
      <c r="L23" s="9" t="str">
        <f aca="false">IF($A23="","",I23*D23)</f>
        <v/>
      </c>
    </row>
    <row r="24" customFormat="false" ht="15" hidden="false" customHeight="false" outlineLevel="0" collapsed="false">
      <c r="A24" s="4"/>
      <c r="B24" s="4"/>
      <c r="C24" s="4"/>
      <c r="D24" s="5"/>
      <c r="E24" s="5"/>
      <c r="F24" s="6"/>
      <c r="G24" s="7" t="str">
        <f aca="false">IF($A24="","",SUMIFS(Movimientos!$E$5:$E$504,Movimientos!$B$5:$B$504,$A24,Movimientos!$D$5:$D$504,"Entrada"))</f>
        <v/>
      </c>
      <c r="H24" s="7" t="str">
        <f aca="false">IF($A24="","",SUMIFS(Movimientos!$E$5:$E$504,Movimientos!$B$5:$B$504,$A24,Movimientos!$D$5:$D$504,"Salida"))</f>
        <v/>
      </c>
      <c r="I24" s="7" t="str">
        <f aca="false">IF($A24="","",F24+G24-H24)</f>
        <v/>
      </c>
      <c r="J24" s="6"/>
      <c r="K24" s="8" t="str">
        <f aca="false">IF($A24="","",IF(I24&lt;=J24,"REPONER",""))</f>
        <v/>
      </c>
      <c r="L24" s="9" t="str">
        <f aca="false">IF($A24="","",I24*D24)</f>
        <v/>
      </c>
    </row>
    <row r="25" customFormat="false" ht="15" hidden="false" customHeight="false" outlineLevel="0" collapsed="false">
      <c r="A25" s="4"/>
      <c r="B25" s="4"/>
      <c r="C25" s="4"/>
      <c r="D25" s="5"/>
      <c r="E25" s="5"/>
      <c r="F25" s="6"/>
      <c r="G25" s="7" t="str">
        <f aca="false">IF($A25="","",SUMIFS(Movimientos!$E$5:$E$504,Movimientos!$B$5:$B$504,$A25,Movimientos!$D$5:$D$504,"Entrada"))</f>
        <v/>
      </c>
      <c r="H25" s="7" t="str">
        <f aca="false">IF($A25="","",SUMIFS(Movimientos!$E$5:$E$504,Movimientos!$B$5:$B$504,$A25,Movimientos!$D$5:$D$504,"Salida"))</f>
        <v/>
      </c>
      <c r="I25" s="7" t="str">
        <f aca="false">IF($A25="","",F25+G25-H25)</f>
        <v/>
      </c>
      <c r="J25" s="6"/>
      <c r="K25" s="8" t="str">
        <f aca="false">IF($A25="","",IF(I25&lt;=J25,"REPONER",""))</f>
        <v/>
      </c>
      <c r="L25" s="9" t="str">
        <f aca="false">IF($A25="","",I25*D25)</f>
        <v/>
      </c>
    </row>
    <row r="26" customFormat="false" ht="15" hidden="false" customHeight="false" outlineLevel="0" collapsed="false">
      <c r="A26" s="4"/>
      <c r="B26" s="4"/>
      <c r="C26" s="4"/>
      <c r="D26" s="5"/>
      <c r="E26" s="5"/>
      <c r="F26" s="6"/>
      <c r="G26" s="7" t="str">
        <f aca="false">IF($A26="","",SUMIFS(Movimientos!$E$5:$E$504,Movimientos!$B$5:$B$504,$A26,Movimientos!$D$5:$D$504,"Entrada"))</f>
        <v/>
      </c>
      <c r="H26" s="7" t="str">
        <f aca="false">IF($A26="","",SUMIFS(Movimientos!$E$5:$E$504,Movimientos!$B$5:$B$504,$A26,Movimientos!$D$5:$D$504,"Salida"))</f>
        <v/>
      </c>
      <c r="I26" s="7" t="str">
        <f aca="false">IF($A26="","",F26+G26-H26)</f>
        <v/>
      </c>
      <c r="J26" s="6"/>
      <c r="K26" s="8" t="str">
        <f aca="false">IF($A26="","",IF(I26&lt;=J26,"REPONER",""))</f>
        <v/>
      </c>
      <c r="L26" s="9" t="str">
        <f aca="false">IF($A26="","",I26*D26)</f>
        <v/>
      </c>
    </row>
    <row r="27" customFormat="false" ht="15" hidden="false" customHeight="false" outlineLevel="0" collapsed="false">
      <c r="A27" s="4"/>
      <c r="B27" s="4"/>
      <c r="C27" s="4"/>
      <c r="D27" s="5"/>
      <c r="E27" s="5"/>
      <c r="F27" s="6"/>
      <c r="G27" s="7" t="str">
        <f aca="false">IF($A27="","",SUMIFS(Movimientos!$E$5:$E$504,Movimientos!$B$5:$B$504,$A27,Movimientos!$D$5:$D$504,"Entrada"))</f>
        <v/>
      </c>
      <c r="H27" s="7" t="str">
        <f aca="false">IF($A27="","",SUMIFS(Movimientos!$E$5:$E$504,Movimientos!$B$5:$B$504,$A27,Movimientos!$D$5:$D$504,"Salida"))</f>
        <v/>
      </c>
      <c r="I27" s="7" t="str">
        <f aca="false">IF($A27="","",F27+G27-H27)</f>
        <v/>
      </c>
      <c r="J27" s="6"/>
      <c r="K27" s="8" t="str">
        <f aca="false">IF($A27="","",IF(I27&lt;=J27,"REPONER",""))</f>
        <v/>
      </c>
      <c r="L27" s="9" t="str">
        <f aca="false">IF($A27="","",I27*D27)</f>
        <v/>
      </c>
    </row>
    <row r="28" customFormat="false" ht="15" hidden="false" customHeight="false" outlineLevel="0" collapsed="false">
      <c r="A28" s="4"/>
      <c r="B28" s="4"/>
      <c r="C28" s="4"/>
      <c r="D28" s="5"/>
      <c r="E28" s="5"/>
      <c r="F28" s="6"/>
      <c r="G28" s="7" t="str">
        <f aca="false">IF($A28="","",SUMIFS(Movimientos!$E$5:$E$504,Movimientos!$B$5:$B$504,$A28,Movimientos!$D$5:$D$504,"Entrada"))</f>
        <v/>
      </c>
      <c r="H28" s="7" t="str">
        <f aca="false">IF($A28="","",SUMIFS(Movimientos!$E$5:$E$504,Movimientos!$B$5:$B$504,$A28,Movimientos!$D$5:$D$504,"Salida"))</f>
        <v/>
      </c>
      <c r="I28" s="7" t="str">
        <f aca="false">IF($A28="","",F28+G28-H28)</f>
        <v/>
      </c>
      <c r="J28" s="6"/>
      <c r="K28" s="8" t="str">
        <f aca="false">IF($A28="","",IF(I28&lt;=J28,"REPONER",""))</f>
        <v/>
      </c>
      <c r="L28" s="9" t="str">
        <f aca="false">IF($A28="","",I28*D28)</f>
        <v/>
      </c>
    </row>
    <row r="29" customFormat="false" ht="15" hidden="false" customHeight="false" outlineLevel="0" collapsed="false">
      <c r="A29" s="4"/>
      <c r="B29" s="4"/>
      <c r="C29" s="4"/>
      <c r="D29" s="5"/>
      <c r="E29" s="5"/>
      <c r="F29" s="6"/>
      <c r="G29" s="7" t="str">
        <f aca="false">IF($A29="","",SUMIFS(Movimientos!$E$5:$E$504,Movimientos!$B$5:$B$504,$A29,Movimientos!$D$5:$D$504,"Entrada"))</f>
        <v/>
      </c>
      <c r="H29" s="7" t="str">
        <f aca="false">IF($A29="","",SUMIFS(Movimientos!$E$5:$E$504,Movimientos!$B$5:$B$504,$A29,Movimientos!$D$5:$D$504,"Salida"))</f>
        <v/>
      </c>
      <c r="I29" s="7" t="str">
        <f aca="false">IF($A29="","",F29+G29-H29)</f>
        <v/>
      </c>
      <c r="J29" s="6"/>
      <c r="K29" s="8" t="str">
        <f aca="false">IF($A29="","",IF(I29&lt;=J29,"REPONER",""))</f>
        <v/>
      </c>
      <c r="L29" s="9" t="str">
        <f aca="false">IF($A29="","",I29*D29)</f>
        <v/>
      </c>
    </row>
    <row r="30" customFormat="false" ht="15" hidden="false" customHeight="false" outlineLevel="0" collapsed="false">
      <c r="A30" s="4"/>
      <c r="B30" s="4"/>
      <c r="C30" s="4"/>
      <c r="D30" s="5"/>
      <c r="E30" s="5"/>
      <c r="F30" s="6"/>
      <c r="G30" s="7" t="str">
        <f aca="false">IF($A30="","",SUMIFS(Movimientos!$E$5:$E$504,Movimientos!$B$5:$B$504,$A30,Movimientos!$D$5:$D$504,"Entrada"))</f>
        <v/>
      </c>
      <c r="H30" s="7" t="str">
        <f aca="false">IF($A30="","",SUMIFS(Movimientos!$E$5:$E$504,Movimientos!$B$5:$B$504,$A30,Movimientos!$D$5:$D$504,"Salida"))</f>
        <v/>
      </c>
      <c r="I30" s="7" t="str">
        <f aca="false">IF($A30="","",F30+G30-H30)</f>
        <v/>
      </c>
      <c r="J30" s="6"/>
      <c r="K30" s="8" t="str">
        <f aca="false">IF($A30="","",IF(I30&lt;=J30,"REPONER",""))</f>
        <v/>
      </c>
      <c r="L30" s="9" t="str">
        <f aca="false">IF($A30="","",I30*D30)</f>
        <v/>
      </c>
    </row>
    <row r="31" customFormat="false" ht="15" hidden="false" customHeight="false" outlineLevel="0" collapsed="false">
      <c r="A31" s="4"/>
      <c r="B31" s="4"/>
      <c r="C31" s="4"/>
      <c r="D31" s="5"/>
      <c r="E31" s="5"/>
      <c r="F31" s="6"/>
      <c r="G31" s="7" t="str">
        <f aca="false">IF($A31="","",SUMIFS(Movimientos!$E$5:$E$504,Movimientos!$B$5:$B$504,$A31,Movimientos!$D$5:$D$504,"Entrada"))</f>
        <v/>
      </c>
      <c r="H31" s="7" t="str">
        <f aca="false">IF($A31="","",SUMIFS(Movimientos!$E$5:$E$504,Movimientos!$B$5:$B$504,$A31,Movimientos!$D$5:$D$504,"Salida"))</f>
        <v/>
      </c>
      <c r="I31" s="7" t="str">
        <f aca="false">IF($A31="","",F31+G31-H31)</f>
        <v/>
      </c>
      <c r="J31" s="6"/>
      <c r="K31" s="8" t="str">
        <f aca="false">IF($A31="","",IF(I31&lt;=J31,"REPONER",""))</f>
        <v/>
      </c>
      <c r="L31" s="9" t="str">
        <f aca="false">IF($A31="","",I31*D31)</f>
        <v/>
      </c>
    </row>
    <row r="32" customFormat="false" ht="15" hidden="false" customHeight="false" outlineLevel="0" collapsed="false">
      <c r="A32" s="4"/>
      <c r="B32" s="4"/>
      <c r="C32" s="4"/>
      <c r="D32" s="5"/>
      <c r="E32" s="5"/>
      <c r="F32" s="6"/>
      <c r="G32" s="7" t="str">
        <f aca="false">IF($A32="","",SUMIFS(Movimientos!$E$5:$E$504,Movimientos!$B$5:$B$504,$A32,Movimientos!$D$5:$D$504,"Entrada"))</f>
        <v/>
      </c>
      <c r="H32" s="7" t="str">
        <f aca="false">IF($A32="","",SUMIFS(Movimientos!$E$5:$E$504,Movimientos!$B$5:$B$504,$A32,Movimientos!$D$5:$D$504,"Salida"))</f>
        <v/>
      </c>
      <c r="I32" s="7" t="str">
        <f aca="false">IF($A32="","",F32+G32-H32)</f>
        <v/>
      </c>
      <c r="J32" s="6"/>
      <c r="K32" s="8" t="str">
        <f aca="false">IF($A32="","",IF(I32&lt;=J32,"REPONER",""))</f>
        <v/>
      </c>
      <c r="L32" s="9" t="str">
        <f aca="false">IF($A32="","",I32*D32)</f>
        <v/>
      </c>
    </row>
    <row r="33" customFormat="false" ht="15" hidden="false" customHeight="false" outlineLevel="0" collapsed="false">
      <c r="A33" s="4"/>
      <c r="B33" s="4"/>
      <c r="C33" s="4"/>
      <c r="D33" s="5"/>
      <c r="E33" s="5"/>
      <c r="F33" s="6"/>
      <c r="G33" s="7" t="str">
        <f aca="false">IF($A33="","",SUMIFS(Movimientos!$E$5:$E$504,Movimientos!$B$5:$B$504,$A33,Movimientos!$D$5:$D$504,"Entrada"))</f>
        <v/>
      </c>
      <c r="H33" s="7" t="str">
        <f aca="false">IF($A33="","",SUMIFS(Movimientos!$E$5:$E$504,Movimientos!$B$5:$B$504,$A33,Movimientos!$D$5:$D$504,"Salida"))</f>
        <v/>
      </c>
      <c r="I33" s="7" t="str">
        <f aca="false">IF($A33="","",F33+G33-H33)</f>
        <v/>
      </c>
      <c r="J33" s="6"/>
      <c r="K33" s="8" t="str">
        <f aca="false">IF($A33="","",IF(I33&lt;=J33,"REPONER",""))</f>
        <v/>
      </c>
      <c r="L33" s="9" t="str">
        <f aca="false">IF($A33="","",I33*D33)</f>
        <v/>
      </c>
    </row>
    <row r="34" customFormat="false" ht="15" hidden="false" customHeight="false" outlineLevel="0" collapsed="false">
      <c r="A34" s="4"/>
      <c r="B34" s="4"/>
      <c r="C34" s="4"/>
      <c r="D34" s="5"/>
      <c r="E34" s="5"/>
      <c r="F34" s="6"/>
      <c r="G34" s="7" t="str">
        <f aca="false">IF($A34="","",SUMIFS(Movimientos!$E$5:$E$504,Movimientos!$B$5:$B$504,$A34,Movimientos!$D$5:$D$504,"Entrada"))</f>
        <v/>
      </c>
      <c r="H34" s="7" t="str">
        <f aca="false">IF($A34="","",SUMIFS(Movimientos!$E$5:$E$504,Movimientos!$B$5:$B$504,$A34,Movimientos!$D$5:$D$504,"Salida"))</f>
        <v/>
      </c>
      <c r="I34" s="7" t="str">
        <f aca="false">IF($A34="","",F34+G34-H34)</f>
        <v/>
      </c>
      <c r="J34" s="6"/>
      <c r="K34" s="8" t="str">
        <f aca="false">IF($A34="","",IF(I34&lt;=J34,"REPONER",""))</f>
        <v/>
      </c>
      <c r="L34" s="9" t="str">
        <f aca="false">IF($A34="","",I34*D34)</f>
        <v/>
      </c>
    </row>
    <row r="35" customFormat="false" ht="15" hidden="false" customHeight="false" outlineLevel="0" collapsed="false">
      <c r="A35" s="4"/>
      <c r="B35" s="4"/>
      <c r="C35" s="4"/>
      <c r="D35" s="5"/>
      <c r="E35" s="5"/>
      <c r="F35" s="6"/>
      <c r="G35" s="7" t="str">
        <f aca="false">IF($A35="","",SUMIFS(Movimientos!$E$5:$E$504,Movimientos!$B$5:$B$504,$A35,Movimientos!$D$5:$D$504,"Entrada"))</f>
        <v/>
      </c>
      <c r="H35" s="7" t="str">
        <f aca="false">IF($A35="","",SUMIFS(Movimientos!$E$5:$E$504,Movimientos!$B$5:$B$504,$A35,Movimientos!$D$5:$D$504,"Salida"))</f>
        <v/>
      </c>
      <c r="I35" s="7" t="str">
        <f aca="false">IF($A35="","",F35+G35-H35)</f>
        <v/>
      </c>
      <c r="J35" s="6"/>
      <c r="K35" s="8" t="str">
        <f aca="false">IF($A35="","",IF(I35&lt;=J35,"REPONER",""))</f>
        <v/>
      </c>
      <c r="L35" s="9" t="str">
        <f aca="false">IF($A35="","",I35*D35)</f>
        <v/>
      </c>
    </row>
    <row r="36" customFormat="false" ht="15" hidden="false" customHeight="false" outlineLevel="0" collapsed="false">
      <c r="A36" s="4"/>
      <c r="B36" s="4"/>
      <c r="C36" s="4"/>
      <c r="D36" s="5"/>
      <c r="E36" s="5"/>
      <c r="F36" s="6"/>
      <c r="G36" s="7" t="str">
        <f aca="false">IF($A36="","",SUMIFS(Movimientos!$E$5:$E$504,Movimientos!$B$5:$B$504,$A36,Movimientos!$D$5:$D$504,"Entrada"))</f>
        <v/>
      </c>
      <c r="H36" s="7" t="str">
        <f aca="false">IF($A36="","",SUMIFS(Movimientos!$E$5:$E$504,Movimientos!$B$5:$B$504,$A36,Movimientos!$D$5:$D$504,"Salida"))</f>
        <v/>
      </c>
      <c r="I36" s="7" t="str">
        <f aca="false">IF($A36="","",F36+G36-H36)</f>
        <v/>
      </c>
      <c r="J36" s="6"/>
      <c r="K36" s="8" t="str">
        <f aca="false">IF($A36="","",IF(I36&lt;=J36,"REPONER",""))</f>
        <v/>
      </c>
      <c r="L36" s="9" t="str">
        <f aca="false">IF($A36="","",I36*D36)</f>
        <v/>
      </c>
    </row>
    <row r="37" customFormat="false" ht="15" hidden="false" customHeight="false" outlineLevel="0" collapsed="false">
      <c r="A37" s="4"/>
      <c r="B37" s="4"/>
      <c r="C37" s="4"/>
      <c r="D37" s="5"/>
      <c r="E37" s="5"/>
      <c r="F37" s="6"/>
      <c r="G37" s="7" t="str">
        <f aca="false">IF($A37="","",SUMIFS(Movimientos!$E$5:$E$504,Movimientos!$B$5:$B$504,$A37,Movimientos!$D$5:$D$504,"Entrada"))</f>
        <v/>
      </c>
      <c r="H37" s="7" t="str">
        <f aca="false">IF($A37="","",SUMIFS(Movimientos!$E$5:$E$504,Movimientos!$B$5:$B$504,$A37,Movimientos!$D$5:$D$504,"Salida"))</f>
        <v/>
      </c>
      <c r="I37" s="7" t="str">
        <f aca="false">IF($A37="","",F37+G37-H37)</f>
        <v/>
      </c>
      <c r="J37" s="6"/>
      <c r="K37" s="8" t="str">
        <f aca="false">IF($A37="","",IF(I37&lt;=J37,"REPONER",""))</f>
        <v/>
      </c>
      <c r="L37" s="9" t="str">
        <f aca="false">IF($A37="","",I37*D37)</f>
        <v/>
      </c>
    </row>
    <row r="38" customFormat="false" ht="15" hidden="false" customHeight="false" outlineLevel="0" collapsed="false">
      <c r="A38" s="4"/>
      <c r="B38" s="4"/>
      <c r="C38" s="4"/>
      <c r="D38" s="5"/>
      <c r="E38" s="5"/>
      <c r="F38" s="6"/>
      <c r="G38" s="7" t="str">
        <f aca="false">IF($A38="","",SUMIFS(Movimientos!$E$5:$E$504,Movimientos!$B$5:$B$504,$A38,Movimientos!$D$5:$D$504,"Entrada"))</f>
        <v/>
      </c>
      <c r="H38" s="7" t="str">
        <f aca="false">IF($A38="","",SUMIFS(Movimientos!$E$5:$E$504,Movimientos!$B$5:$B$504,$A38,Movimientos!$D$5:$D$504,"Salida"))</f>
        <v/>
      </c>
      <c r="I38" s="7" t="str">
        <f aca="false">IF($A38="","",F38+G38-H38)</f>
        <v/>
      </c>
      <c r="J38" s="6"/>
      <c r="K38" s="8" t="str">
        <f aca="false">IF($A38="","",IF(I38&lt;=J38,"REPONER",""))</f>
        <v/>
      </c>
      <c r="L38" s="9" t="str">
        <f aca="false">IF($A38="","",I38*D38)</f>
        <v/>
      </c>
    </row>
    <row r="39" customFormat="false" ht="15" hidden="false" customHeight="false" outlineLevel="0" collapsed="false">
      <c r="A39" s="4"/>
      <c r="B39" s="4"/>
      <c r="C39" s="4"/>
      <c r="D39" s="5"/>
      <c r="E39" s="5"/>
      <c r="F39" s="6"/>
      <c r="G39" s="7" t="str">
        <f aca="false">IF($A39="","",SUMIFS(Movimientos!$E$5:$E$504,Movimientos!$B$5:$B$504,$A39,Movimientos!$D$5:$D$504,"Entrada"))</f>
        <v/>
      </c>
      <c r="H39" s="7" t="str">
        <f aca="false">IF($A39="","",SUMIFS(Movimientos!$E$5:$E$504,Movimientos!$B$5:$B$504,$A39,Movimientos!$D$5:$D$504,"Salida"))</f>
        <v/>
      </c>
      <c r="I39" s="7" t="str">
        <f aca="false">IF($A39="","",F39+G39-H39)</f>
        <v/>
      </c>
      <c r="J39" s="6"/>
      <c r="K39" s="8" t="str">
        <f aca="false">IF($A39="","",IF(I39&lt;=J39,"REPONER",""))</f>
        <v/>
      </c>
      <c r="L39" s="9" t="str">
        <f aca="false">IF($A39="","",I39*D39)</f>
        <v/>
      </c>
    </row>
    <row r="40" customFormat="false" ht="15" hidden="false" customHeight="false" outlineLevel="0" collapsed="false">
      <c r="A40" s="4"/>
      <c r="B40" s="4"/>
      <c r="C40" s="4"/>
      <c r="D40" s="5"/>
      <c r="E40" s="5"/>
      <c r="F40" s="6"/>
      <c r="G40" s="7" t="str">
        <f aca="false">IF($A40="","",SUMIFS(Movimientos!$E$5:$E$504,Movimientos!$B$5:$B$504,$A40,Movimientos!$D$5:$D$504,"Entrada"))</f>
        <v/>
      </c>
      <c r="H40" s="7" t="str">
        <f aca="false">IF($A40="","",SUMIFS(Movimientos!$E$5:$E$504,Movimientos!$B$5:$B$504,$A40,Movimientos!$D$5:$D$504,"Salida"))</f>
        <v/>
      </c>
      <c r="I40" s="7" t="str">
        <f aca="false">IF($A40="","",F40+G40-H40)</f>
        <v/>
      </c>
      <c r="J40" s="6"/>
      <c r="K40" s="8" t="str">
        <f aca="false">IF($A40="","",IF(I40&lt;=J40,"REPONER",""))</f>
        <v/>
      </c>
      <c r="L40" s="9" t="str">
        <f aca="false">IF($A40="","",I40*D40)</f>
        <v/>
      </c>
    </row>
    <row r="41" customFormat="false" ht="15" hidden="false" customHeight="false" outlineLevel="0" collapsed="false">
      <c r="A41" s="4"/>
      <c r="B41" s="4"/>
      <c r="C41" s="4"/>
      <c r="D41" s="5"/>
      <c r="E41" s="5"/>
      <c r="F41" s="6"/>
      <c r="G41" s="7" t="str">
        <f aca="false">IF($A41="","",SUMIFS(Movimientos!$E$5:$E$504,Movimientos!$B$5:$B$504,$A41,Movimientos!$D$5:$D$504,"Entrada"))</f>
        <v/>
      </c>
      <c r="H41" s="7" t="str">
        <f aca="false">IF($A41="","",SUMIFS(Movimientos!$E$5:$E$504,Movimientos!$B$5:$B$504,$A41,Movimientos!$D$5:$D$504,"Salida"))</f>
        <v/>
      </c>
      <c r="I41" s="7" t="str">
        <f aca="false">IF($A41="","",F41+G41-H41)</f>
        <v/>
      </c>
      <c r="J41" s="6"/>
      <c r="K41" s="8" t="str">
        <f aca="false">IF($A41="","",IF(I41&lt;=J41,"REPONER",""))</f>
        <v/>
      </c>
      <c r="L41" s="9" t="str">
        <f aca="false">IF($A41="","",I41*D41)</f>
        <v/>
      </c>
    </row>
    <row r="42" customFormat="false" ht="15" hidden="false" customHeight="false" outlineLevel="0" collapsed="false">
      <c r="A42" s="4"/>
      <c r="B42" s="4"/>
      <c r="C42" s="4"/>
      <c r="D42" s="5"/>
      <c r="E42" s="5"/>
      <c r="F42" s="6"/>
      <c r="G42" s="7" t="str">
        <f aca="false">IF($A42="","",SUMIFS(Movimientos!$E$5:$E$504,Movimientos!$B$5:$B$504,$A42,Movimientos!$D$5:$D$504,"Entrada"))</f>
        <v/>
      </c>
      <c r="H42" s="7" t="str">
        <f aca="false">IF($A42="","",SUMIFS(Movimientos!$E$5:$E$504,Movimientos!$B$5:$B$504,$A42,Movimientos!$D$5:$D$504,"Salida"))</f>
        <v/>
      </c>
      <c r="I42" s="7" t="str">
        <f aca="false">IF($A42="","",F42+G42-H42)</f>
        <v/>
      </c>
      <c r="J42" s="6"/>
      <c r="K42" s="8" t="str">
        <f aca="false">IF($A42="","",IF(I42&lt;=J42,"REPONER",""))</f>
        <v/>
      </c>
      <c r="L42" s="9" t="str">
        <f aca="false">IF($A42="","",I42*D42)</f>
        <v/>
      </c>
    </row>
    <row r="43" customFormat="false" ht="15" hidden="false" customHeight="false" outlineLevel="0" collapsed="false">
      <c r="A43" s="4"/>
      <c r="B43" s="4"/>
      <c r="C43" s="4"/>
      <c r="D43" s="5"/>
      <c r="E43" s="5"/>
      <c r="F43" s="6"/>
      <c r="G43" s="7" t="str">
        <f aca="false">IF($A43="","",SUMIFS(Movimientos!$E$5:$E$504,Movimientos!$B$5:$B$504,$A43,Movimientos!$D$5:$D$504,"Entrada"))</f>
        <v/>
      </c>
      <c r="H43" s="7" t="str">
        <f aca="false">IF($A43="","",SUMIFS(Movimientos!$E$5:$E$504,Movimientos!$B$5:$B$504,$A43,Movimientos!$D$5:$D$504,"Salida"))</f>
        <v/>
      </c>
      <c r="I43" s="7" t="str">
        <f aca="false">IF($A43="","",F43+G43-H43)</f>
        <v/>
      </c>
      <c r="J43" s="6"/>
      <c r="K43" s="8" t="str">
        <f aca="false">IF($A43="","",IF(I43&lt;=J43,"REPONER",""))</f>
        <v/>
      </c>
      <c r="L43" s="9" t="str">
        <f aca="false">IF($A43="","",I43*D43)</f>
        <v/>
      </c>
    </row>
    <row r="44" customFormat="false" ht="15" hidden="false" customHeight="false" outlineLevel="0" collapsed="false">
      <c r="A44" s="4"/>
      <c r="B44" s="4"/>
      <c r="C44" s="4"/>
      <c r="D44" s="5"/>
      <c r="E44" s="5"/>
      <c r="F44" s="6"/>
      <c r="G44" s="7" t="str">
        <f aca="false">IF($A44="","",SUMIFS(Movimientos!$E$5:$E$504,Movimientos!$B$5:$B$504,$A44,Movimientos!$D$5:$D$504,"Entrada"))</f>
        <v/>
      </c>
      <c r="H44" s="7" t="str">
        <f aca="false">IF($A44="","",SUMIFS(Movimientos!$E$5:$E$504,Movimientos!$B$5:$B$504,$A44,Movimientos!$D$5:$D$504,"Salida"))</f>
        <v/>
      </c>
      <c r="I44" s="7" t="str">
        <f aca="false">IF($A44="","",F44+G44-H44)</f>
        <v/>
      </c>
      <c r="J44" s="6"/>
      <c r="K44" s="8" t="str">
        <f aca="false">IF($A44="","",IF(I44&lt;=J44,"REPONER",""))</f>
        <v/>
      </c>
      <c r="L44" s="9" t="str">
        <f aca="false">IF($A44="","",I44*D44)</f>
        <v/>
      </c>
    </row>
    <row r="45" customFormat="false" ht="15" hidden="false" customHeight="false" outlineLevel="0" collapsed="false">
      <c r="A45" s="4"/>
      <c r="B45" s="4"/>
      <c r="C45" s="4"/>
      <c r="D45" s="5"/>
      <c r="E45" s="5"/>
      <c r="F45" s="6"/>
      <c r="G45" s="7" t="str">
        <f aca="false">IF($A45="","",SUMIFS(Movimientos!$E$5:$E$504,Movimientos!$B$5:$B$504,$A45,Movimientos!$D$5:$D$504,"Entrada"))</f>
        <v/>
      </c>
      <c r="H45" s="7" t="str">
        <f aca="false">IF($A45="","",SUMIFS(Movimientos!$E$5:$E$504,Movimientos!$B$5:$B$504,$A45,Movimientos!$D$5:$D$504,"Salida"))</f>
        <v/>
      </c>
      <c r="I45" s="7" t="str">
        <f aca="false">IF($A45="","",F45+G45-H45)</f>
        <v/>
      </c>
      <c r="J45" s="6"/>
      <c r="K45" s="8" t="str">
        <f aca="false">IF($A45="","",IF(I45&lt;=J45,"REPONER",""))</f>
        <v/>
      </c>
      <c r="L45" s="9" t="str">
        <f aca="false">IF($A45="","",I45*D45)</f>
        <v/>
      </c>
    </row>
    <row r="46" customFormat="false" ht="15" hidden="false" customHeight="false" outlineLevel="0" collapsed="false">
      <c r="A46" s="4"/>
      <c r="B46" s="4"/>
      <c r="C46" s="4"/>
      <c r="D46" s="5"/>
      <c r="E46" s="5"/>
      <c r="F46" s="6"/>
      <c r="G46" s="7" t="str">
        <f aca="false">IF($A46="","",SUMIFS(Movimientos!$E$5:$E$504,Movimientos!$B$5:$B$504,$A46,Movimientos!$D$5:$D$504,"Entrada"))</f>
        <v/>
      </c>
      <c r="H46" s="7" t="str">
        <f aca="false">IF($A46="","",SUMIFS(Movimientos!$E$5:$E$504,Movimientos!$B$5:$B$504,$A46,Movimientos!$D$5:$D$504,"Salida"))</f>
        <v/>
      </c>
      <c r="I46" s="7" t="str">
        <f aca="false">IF($A46="","",F46+G46-H46)</f>
        <v/>
      </c>
      <c r="J46" s="6"/>
      <c r="K46" s="8" t="str">
        <f aca="false">IF($A46="","",IF(I46&lt;=J46,"REPONER",""))</f>
        <v/>
      </c>
      <c r="L46" s="9" t="str">
        <f aca="false">IF($A46="","",I46*D46)</f>
        <v/>
      </c>
    </row>
    <row r="47" customFormat="false" ht="15" hidden="false" customHeight="false" outlineLevel="0" collapsed="false">
      <c r="A47" s="4"/>
      <c r="B47" s="4"/>
      <c r="C47" s="4"/>
      <c r="D47" s="5"/>
      <c r="E47" s="5"/>
      <c r="F47" s="6"/>
      <c r="G47" s="7" t="str">
        <f aca="false">IF($A47="","",SUMIFS(Movimientos!$E$5:$E$504,Movimientos!$B$5:$B$504,$A47,Movimientos!$D$5:$D$504,"Entrada"))</f>
        <v/>
      </c>
      <c r="H47" s="7" t="str">
        <f aca="false">IF($A47="","",SUMIFS(Movimientos!$E$5:$E$504,Movimientos!$B$5:$B$504,$A47,Movimientos!$D$5:$D$504,"Salida"))</f>
        <v/>
      </c>
      <c r="I47" s="7" t="str">
        <f aca="false">IF($A47="","",F47+G47-H47)</f>
        <v/>
      </c>
      <c r="J47" s="6"/>
      <c r="K47" s="8" t="str">
        <f aca="false">IF($A47="","",IF(I47&lt;=J47,"REPONER",""))</f>
        <v/>
      </c>
      <c r="L47" s="9" t="str">
        <f aca="false">IF($A47="","",I47*D47)</f>
        <v/>
      </c>
    </row>
    <row r="48" customFormat="false" ht="15" hidden="false" customHeight="false" outlineLevel="0" collapsed="false">
      <c r="A48" s="4"/>
      <c r="B48" s="4"/>
      <c r="C48" s="4"/>
      <c r="D48" s="5"/>
      <c r="E48" s="5"/>
      <c r="F48" s="6"/>
      <c r="G48" s="7" t="str">
        <f aca="false">IF($A48="","",SUMIFS(Movimientos!$E$5:$E$504,Movimientos!$B$5:$B$504,$A48,Movimientos!$D$5:$D$504,"Entrada"))</f>
        <v/>
      </c>
      <c r="H48" s="7" t="str">
        <f aca="false">IF($A48="","",SUMIFS(Movimientos!$E$5:$E$504,Movimientos!$B$5:$B$504,$A48,Movimientos!$D$5:$D$504,"Salida"))</f>
        <v/>
      </c>
      <c r="I48" s="7" t="str">
        <f aca="false">IF($A48="","",F48+G48-H48)</f>
        <v/>
      </c>
      <c r="J48" s="6"/>
      <c r="K48" s="8" t="str">
        <f aca="false">IF($A48="","",IF(I48&lt;=J48,"REPONER",""))</f>
        <v/>
      </c>
      <c r="L48" s="9" t="str">
        <f aca="false">IF($A48="","",I48*D48)</f>
        <v/>
      </c>
    </row>
    <row r="49" customFormat="false" ht="15" hidden="false" customHeight="false" outlineLevel="0" collapsed="false">
      <c r="A49" s="4"/>
      <c r="B49" s="4"/>
      <c r="C49" s="4"/>
      <c r="D49" s="5"/>
      <c r="E49" s="5"/>
      <c r="F49" s="6"/>
      <c r="G49" s="7" t="str">
        <f aca="false">IF($A49="","",SUMIFS(Movimientos!$E$5:$E$504,Movimientos!$B$5:$B$504,$A49,Movimientos!$D$5:$D$504,"Entrada"))</f>
        <v/>
      </c>
      <c r="H49" s="7" t="str">
        <f aca="false">IF($A49="","",SUMIFS(Movimientos!$E$5:$E$504,Movimientos!$B$5:$B$504,$A49,Movimientos!$D$5:$D$504,"Salida"))</f>
        <v/>
      </c>
      <c r="I49" s="7" t="str">
        <f aca="false">IF($A49="","",F49+G49-H49)</f>
        <v/>
      </c>
      <c r="J49" s="6"/>
      <c r="K49" s="8" t="str">
        <f aca="false">IF($A49="","",IF(I49&lt;=J49,"REPONER",""))</f>
        <v/>
      </c>
      <c r="L49" s="9" t="str">
        <f aca="false">IF($A49="","",I49*D49)</f>
        <v/>
      </c>
    </row>
    <row r="50" customFormat="false" ht="15" hidden="false" customHeight="false" outlineLevel="0" collapsed="false">
      <c r="A50" s="4"/>
      <c r="B50" s="4"/>
      <c r="C50" s="4"/>
      <c r="D50" s="5"/>
      <c r="E50" s="5"/>
      <c r="F50" s="6"/>
      <c r="G50" s="7" t="str">
        <f aca="false">IF($A50="","",SUMIFS(Movimientos!$E$5:$E$504,Movimientos!$B$5:$B$504,$A50,Movimientos!$D$5:$D$504,"Entrada"))</f>
        <v/>
      </c>
      <c r="H50" s="7" t="str">
        <f aca="false">IF($A50="","",SUMIFS(Movimientos!$E$5:$E$504,Movimientos!$B$5:$B$504,$A50,Movimientos!$D$5:$D$504,"Salida"))</f>
        <v/>
      </c>
      <c r="I50" s="7" t="str">
        <f aca="false">IF($A50="","",F50+G50-H50)</f>
        <v/>
      </c>
      <c r="J50" s="6"/>
      <c r="K50" s="8" t="str">
        <f aca="false">IF($A50="","",IF(I50&lt;=J50,"REPONER",""))</f>
        <v/>
      </c>
      <c r="L50" s="9" t="str">
        <f aca="false">IF($A50="","",I50*D50)</f>
        <v/>
      </c>
    </row>
    <row r="51" customFormat="false" ht="15" hidden="false" customHeight="false" outlineLevel="0" collapsed="false">
      <c r="A51" s="4"/>
      <c r="B51" s="4"/>
      <c r="C51" s="4"/>
      <c r="D51" s="5"/>
      <c r="E51" s="5"/>
      <c r="F51" s="6"/>
      <c r="G51" s="7" t="str">
        <f aca="false">IF($A51="","",SUMIFS(Movimientos!$E$5:$E$504,Movimientos!$B$5:$B$504,$A51,Movimientos!$D$5:$D$504,"Entrada"))</f>
        <v/>
      </c>
      <c r="H51" s="7" t="str">
        <f aca="false">IF($A51="","",SUMIFS(Movimientos!$E$5:$E$504,Movimientos!$B$5:$B$504,$A51,Movimientos!$D$5:$D$504,"Salida"))</f>
        <v/>
      </c>
      <c r="I51" s="7" t="str">
        <f aca="false">IF($A51="","",F51+G51-H51)</f>
        <v/>
      </c>
      <c r="J51" s="6"/>
      <c r="K51" s="8" t="str">
        <f aca="false">IF($A51="","",IF(I51&lt;=J51,"REPONER",""))</f>
        <v/>
      </c>
      <c r="L51" s="9" t="str">
        <f aca="false">IF($A51="","",I51*D51)</f>
        <v/>
      </c>
    </row>
    <row r="52" customFormat="false" ht="15" hidden="false" customHeight="false" outlineLevel="0" collapsed="false">
      <c r="A52" s="4"/>
      <c r="B52" s="4"/>
      <c r="C52" s="4"/>
      <c r="D52" s="5"/>
      <c r="E52" s="5"/>
      <c r="F52" s="6"/>
      <c r="G52" s="7" t="str">
        <f aca="false">IF($A52="","",SUMIFS(Movimientos!$E$5:$E$504,Movimientos!$B$5:$B$504,$A52,Movimientos!$D$5:$D$504,"Entrada"))</f>
        <v/>
      </c>
      <c r="H52" s="7" t="str">
        <f aca="false">IF($A52="","",SUMIFS(Movimientos!$E$5:$E$504,Movimientos!$B$5:$B$504,$A52,Movimientos!$D$5:$D$504,"Salida"))</f>
        <v/>
      </c>
      <c r="I52" s="7" t="str">
        <f aca="false">IF($A52="","",F52+G52-H52)</f>
        <v/>
      </c>
      <c r="J52" s="6"/>
      <c r="K52" s="8" t="str">
        <f aca="false">IF($A52="","",IF(I52&lt;=J52,"REPONER",""))</f>
        <v/>
      </c>
      <c r="L52" s="9" t="str">
        <f aca="false">IF($A52="","",I52*D52)</f>
        <v/>
      </c>
    </row>
    <row r="53" customFormat="false" ht="15" hidden="false" customHeight="false" outlineLevel="0" collapsed="false">
      <c r="A53" s="4"/>
      <c r="B53" s="4"/>
      <c r="C53" s="4"/>
      <c r="D53" s="5"/>
      <c r="E53" s="5"/>
      <c r="F53" s="6"/>
      <c r="G53" s="7" t="str">
        <f aca="false">IF($A53="","",SUMIFS(Movimientos!$E$5:$E$504,Movimientos!$B$5:$B$504,$A53,Movimientos!$D$5:$D$504,"Entrada"))</f>
        <v/>
      </c>
      <c r="H53" s="7" t="str">
        <f aca="false">IF($A53="","",SUMIFS(Movimientos!$E$5:$E$504,Movimientos!$B$5:$B$504,$A53,Movimientos!$D$5:$D$504,"Salida"))</f>
        <v/>
      </c>
      <c r="I53" s="7" t="str">
        <f aca="false">IF($A53="","",F53+G53-H53)</f>
        <v/>
      </c>
      <c r="J53" s="6"/>
      <c r="K53" s="8" t="str">
        <f aca="false">IF($A53="","",IF(I53&lt;=J53,"REPONER",""))</f>
        <v/>
      </c>
      <c r="L53" s="9" t="str">
        <f aca="false">IF($A53="","",I53*D53)</f>
        <v/>
      </c>
    </row>
    <row r="54" customFormat="false" ht="15" hidden="false" customHeight="false" outlineLevel="0" collapsed="false">
      <c r="A54" s="4"/>
      <c r="B54" s="4"/>
      <c r="C54" s="4"/>
      <c r="D54" s="5"/>
      <c r="E54" s="5"/>
      <c r="F54" s="6"/>
      <c r="G54" s="7" t="str">
        <f aca="false">IF($A54="","",SUMIFS(Movimientos!$E$5:$E$504,Movimientos!$B$5:$B$504,$A54,Movimientos!$D$5:$D$504,"Entrada"))</f>
        <v/>
      </c>
      <c r="H54" s="7" t="str">
        <f aca="false">IF($A54="","",SUMIFS(Movimientos!$E$5:$E$504,Movimientos!$B$5:$B$504,$A54,Movimientos!$D$5:$D$504,"Salida"))</f>
        <v/>
      </c>
      <c r="I54" s="7" t="str">
        <f aca="false">IF($A54="","",F54+G54-H54)</f>
        <v/>
      </c>
      <c r="J54" s="6"/>
      <c r="K54" s="8" t="str">
        <f aca="false">IF($A54="","",IF(I54&lt;=J54,"REPONER",""))</f>
        <v/>
      </c>
      <c r="L54" s="9" t="str">
        <f aca="false">IF($A54="","",I54*D54)</f>
        <v/>
      </c>
    </row>
    <row r="55" customFormat="false" ht="15" hidden="false" customHeight="false" outlineLevel="0" collapsed="false">
      <c r="A55" s="4"/>
      <c r="B55" s="4"/>
      <c r="C55" s="4"/>
      <c r="D55" s="5"/>
      <c r="E55" s="5"/>
      <c r="F55" s="6"/>
      <c r="G55" s="7" t="str">
        <f aca="false">IF($A55="","",SUMIFS(Movimientos!$E$5:$E$504,Movimientos!$B$5:$B$504,$A55,Movimientos!$D$5:$D$504,"Entrada"))</f>
        <v/>
      </c>
      <c r="H55" s="7" t="str">
        <f aca="false">IF($A55="","",SUMIFS(Movimientos!$E$5:$E$504,Movimientos!$B$5:$B$504,$A55,Movimientos!$D$5:$D$504,"Salida"))</f>
        <v/>
      </c>
      <c r="I55" s="7" t="str">
        <f aca="false">IF($A55="","",F55+G55-H55)</f>
        <v/>
      </c>
      <c r="J55" s="6"/>
      <c r="K55" s="8" t="str">
        <f aca="false">IF($A55="","",IF(I55&lt;=J55,"REPONER",""))</f>
        <v/>
      </c>
      <c r="L55" s="9" t="str">
        <f aca="false">IF($A55="","",I55*D55)</f>
        <v/>
      </c>
    </row>
    <row r="56" customFormat="false" ht="15" hidden="false" customHeight="false" outlineLevel="0" collapsed="false">
      <c r="A56" s="4"/>
      <c r="B56" s="4"/>
      <c r="C56" s="4"/>
      <c r="D56" s="5"/>
      <c r="E56" s="5"/>
      <c r="F56" s="6"/>
      <c r="G56" s="7" t="str">
        <f aca="false">IF($A56="","",SUMIFS(Movimientos!$E$5:$E$504,Movimientos!$B$5:$B$504,$A56,Movimientos!$D$5:$D$504,"Entrada"))</f>
        <v/>
      </c>
      <c r="H56" s="7" t="str">
        <f aca="false">IF($A56="","",SUMIFS(Movimientos!$E$5:$E$504,Movimientos!$B$5:$B$504,$A56,Movimientos!$D$5:$D$504,"Salida"))</f>
        <v/>
      </c>
      <c r="I56" s="7" t="str">
        <f aca="false">IF($A56="","",F56+G56-H56)</f>
        <v/>
      </c>
      <c r="J56" s="6"/>
      <c r="K56" s="8" t="str">
        <f aca="false">IF($A56="","",IF(I56&lt;=J56,"REPONER",""))</f>
        <v/>
      </c>
      <c r="L56" s="9" t="str">
        <f aca="false">IF($A56="","",I56*D56)</f>
        <v/>
      </c>
    </row>
    <row r="57" customFormat="false" ht="15" hidden="false" customHeight="false" outlineLevel="0" collapsed="false">
      <c r="A57" s="4"/>
      <c r="B57" s="4"/>
      <c r="C57" s="4"/>
      <c r="D57" s="5"/>
      <c r="E57" s="5"/>
      <c r="F57" s="6"/>
      <c r="G57" s="7" t="str">
        <f aca="false">IF($A57="","",SUMIFS(Movimientos!$E$5:$E$504,Movimientos!$B$5:$B$504,$A57,Movimientos!$D$5:$D$504,"Entrada"))</f>
        <v/>
      </c>
      <c r="H57" s="7" t="str">
        <f aca="false">IF($A57="","",SUMIFS(Movimientos!$E$5:$E$504,Movimientos!$B$5:$B$504,$A57,Movimientos!$D$5:$D$504,"Salida"))</f>
        <v/>
      </c>
      <c r="I57" s="7" t="str">
        <f aca="false">IF($A57="","",F57+G57-H57)</f>
        <v/>
      </c>
      <c r="J57" s="6"/>
      <c r="K57" s="8" t="str">
        <f aca="false">IF($A57="","",IF(I57&lt;=J57,"REPONER",""))</f>
        <v/>
      </c>
      <c r="L57" s="9" t="str">
        <f aca="false">IF($A57="","",I57*D57)</f>
        <v/>
      </c>
    </row>
    <row r="58" customFormat="false" ht="15" hidden="false" customHeight="false" outlineLevel="0" collapsed="false">
      <c r="A58" s="4"/>
      <c r="B58" s="4"/>
      <c r="C58" s="4"/>
      <c r="D58" s="5"/>
      <c r="E58" s="5"/>
      <c r="F58" s="6"/>
      <c r="G58" s="7" t="str">
        <f aca="false">IF($A58="","",SUMIFS(Movimientos!$E$5:$E$504,Movimientos!$B$5:$B$504,$A58,Movimientos!$D$5:$D$504,"Entrada"))</f>
        <v/>
      </c>
      <c r="H58" s="7" t="str">
        <f aca="false">IF($A58="","",SUMIFS(Movimientos!$E$5:$E$504,Movimientos!$B$5:$B$504,$A58,Movimientos!$D$5:$D$504,"Salida"))</f>
        <v/>
      </c>
      <c r="I58" s="7" t="str">
        <f aca="false">IF($A58="","",F58+G58-H58)</f>
        <v/>
      </c>
      <c r="J58" s="6"/>
      <c r="K58" s="8" t="str">
        <f aca="false">IF($A58="","",IF(I58&lt;=J58,"REPONER",""))</f>
        <v/>
      </c>
      <c r="L58" s="9" t="str">
        <f aca="false">IF($A58="","",I58*D58)</f>
        <v/>
      </c>
    </row>
    <row r="59" customFormat="false" ht="15" hidden="false" customHeight="false" outlineLevel="0" collapsed="false">
      <c r="A59" s="4"/>
      <c r="B59" s="4"/>
      <c r="C59" s="4"/>
      <c r="D59" s="5"/>
      <c r="E59" s="5"/>
      <c r="F59" s="6"/>
      <c r="G59" s="7" t="str">
        <f aca="false">IF($A59="","",SUMIFS(Movimientos!$E$5:$E$504,Movimientos!$B$5:$B$504,$A59,Movimientos!$D$5:$D$504,"Entrada"))</f>
        <v/>
      </c>
      <c r="H59" s="7" t="str">
        <f aca="false">IF($A59="","",SUMIFS(Movimientos!$E$5:$E$504,Movimientos!$B$5:$B$504,$A59,Movimientos!$D$5:$D$504,"Salida"))</f>
        <v/>
      </c>
      <c r="I59" s="7" t="str">
        <f aca="false">IF($A59="","",F59+G59-H59)</f>
        <v/>
      </c>
      <c r="J59" s="6"/>
      <c r="K59" s="8" t="str">
        <f aca="false">IF($A59="","",IF(I59&lt;=J59,"REPONER",""))</f>
        <v/>
      </c>
      <c r="L59" s="9" t="str">
        <f aca="false">IF($A59="","",I59*D59)</f>
        <v/>
      </c>
    </row>
    <row r="60" customFormat="false" ht="15" hidden="false" customHeight="false" outlineLevel="0" collapsed="false">
      <c r="A60" s="4"/>
      <c r="B60" s="4"/>
      <c r="C60" s="4"/>
      <c r="D60" s="5"/>
      <c r="E60" s="5"/>
      <c r="F60" s="6"/>
      <c r="G60" s="7" t="str">
        <f aca="false">IF($A60="","",SUMIFS(Movimientos!$E$5:$E$504,Movimientos!$B$5:$B$504,$A60,Movimientos!$D$5:$D$504,"Entrada"))</f>
        <v/>
      </c>
      <c r="H60" s="7" t="str">
        <f aca="false">IF($A60="","",SUMIFS(Movimientos!$E$5:$E$504,Movimientos!$B$5:$B$504,$A60,Movimientos!$D$5:$D$504,"Salida"))</f>
        <v/>
      </c>
      <c r="I60" s="7" t="str">
        <f aca="false">IF($A60="","",F60+G60-H60)</f>
        <v/>
      </c>
      <c r="J60" s="6"/>
      <c r="K60" s="8" t="str">
        <f aca="false">IF($A60="","",IF(I60&lt;=J60,"REPONER",""))</f>
        <v/>
      </c>
      <c r="L60" s="9" t="str">
        <f aca="false">IF($A60="","",I60*D60)</f>
        <v/>
      </c>
    </row>
    <row r="61" customFormat="false" ht="15" hidden="false" customHeight="false" outlineLevel="0" collapsed="false">
      <c r="A61" s="4"/>
      <c r="B61" s="4"/>
      <c r="C61" s="4"/>
      <c r="D61" s="5"/>
      <c r="E61" s="5"/>
      <c r="F61" s="6"/>
      <c r="G61" s="7" t="str">
        <f aca="false">IF($A61="","",SUMIFS(Movimientos!$E$5:$E$504,Movimientos!$B$5:$B$504,$A61,Movimientos!$D$5:$D$504,"Entrada"))</f>
        <v/>
      </c>
      <c r="H61" s="7" t="str">
        <f aca="false">IF($A61="","",SUMIFS(Movimientos!$E$5:$E$504,Movimientos!$B$5:$B$504,$A61,Movimientos!$D$5:$D$504,"Salida"))</f>
        <v/>
      </c>
      <c r="I61" s="7" t="str">
        <f aca="false">IF($A61="","",F61+G61-H61)</f>
        <v/>
      </c>
      <c r="J61" s="6"/>
      <c r="K61" s="8" t="str">
        <f aca="false">IF($A61="","",IF(I61&lt;=J61,"REPONER",""))</f>
        <v/>
      </c>
      <c r="L61" s="9" t="str">
        <f aca="false">IF($A61="","",I61*D61)</f>
        <v/>
      </c>
    </row>
    <row r="62" customFormat="false" ht="15" hidden="false" customHeight="false" outlineLevel="0" collapsed="false">
      <c r="A62" s="4"/>
      <c r="B62" s="4"/>
      <c r="C62" s="4"/>
      <c r="D62" s="5"/>
      <c r="E62" s="5"/>
      <c r="F62" s="6"/>
      <c r="G62" s="7" t="str">
        <f aca="false">IF($A62="","",SUMIFS(Movimientos!$E$5:$E$504,Movimientos!$B$5:$B$504,$A62,Movimientos!$D$5:$D$504,"Entrada"))</f>
        <v/>
      </c>
      <c r="H62" s="7" t="str">
        <f aca="false">IF($A62="","",SUMIFS(Movimientos!$E$5:$E$504,Movimientos!$B$5:$B$504,$A62,Movimientos!$D$5:$D$504,"Salida"))</f>
        <v/>
      </c>
      <c r="I62" s="7" t="str">
        <f aca="false">IF($A62="","",F62+G62-H62)</f>
        <v/>
      </c>
      <c r="J62" s="6"/>
      <c r="K62" s="8" t="str">
        <f aca="false">IF($A62="","",IF(I62&lt;=J62,"REPONER",""))</f>
        <v/>
      </c>
      <c r="L62" s="9" t="str">
        <f aca="false">IF($A62="","",I62*D62)</f>
        <v/>
      </c>
    </row>
    <row r="63" customFormat="false" ht="15" hidden="false" customHeight="false" outlineLevel="0" collapsed="false">
      <c r="A63" s="4"/>
      <c r="B63" s="4"/>
      <c r="C63" s="4"/>
      <c r="D63" s="5"/>
      <c r="E63" s="5"/>
      <c r="F63" s="6"/>
      <c r="G63" s="7" t="str">
        <f aca="false">IF($A63="","",SUMIFS(Movimientos!$E$5:$E$504,Movimientos!$B$5:$B$504,$A63,Movimientos!$D$5:$D$504,"Entrada"))</f>
        <v/>
      </c>
      <c r="H63" s="7" t="str">
        <f aca="false">IF($A63="","",SUMIFS(Movimientos!$E$5:$E$504,Movimientos!$B$5:$B$504,$A63,Movimientos!$D$5:$D$504,"Salida"))</f>
        <v/>
      </c>
      <c r="I63" s="7" t="str">
        <f aca="false">IF($A63="","",F63+G63-H63)</f>
        <v/>
      </c>
      <c r="J63" s="6"/>
      <c r="K63" s="8" t="str">
        <f aca="false">IF($A63="","",IF(I63&lt;=J63,"REPONER",""))</f>
        <v/>
      </c>
      <c r="L63" s="9" t="str">
        <f aca="false">IF($A63="","",I63*D63)</f>
        <v/>
      </c>
    </row>
    <row r="64" customFormat="false" ht="15" hidden="false" customHeight="false" outlineLevel="0" collapsed="false">
      <c r="A64" s="4"/>
      <c r="B64" s="4"/>
      <c r="C64" s="4"/>
      <c r="D64" s="5"/>
      <c r="E64" s="5"/>
      <c r="F64" s="6"/>
      <c r="G64" s="7" t="str">
        <f aca="false">IF($A64="","",SUMIFS(Movimientos!$E$5:$E$504,Movimientos!$B$5:$B$504,$A64,Movimientos!$D$5:$D$504,"Entrada"))</f>
        <v/>
      </c>
      <c r="H64" s="7" t="str">
        <f aca="false">IF($A64="","",SUMIFS(Movimientos!$E$5:$E$504,Movimientos!$B$5:$B$504,$A64,Movimientos!$D$5:$D$504,"Salida"))</f>
        <v/>
      </c>
      <c r="I64" s="7" t="str">
        <f aca="false">IF($A64="","",F64+G64-H64)</f>
        <v/>
      </c>
      <c r="J64" s="6"/>
      <c r="K64" s="8" t="str">
        <f aca="false">IF($A64="","",IF(I64&lt;=J64,"REPONER",""))</f>
        <v/>
      </c>
      <c r="L64" s="9" t="str">
        <f aca="false">IF($A64="","",I64*D64)</f>
        <v/>
      </c>
    </row>
    <row r="65" customFormat="false" ht="15" hidden="false" customHeight="false" outlineLevel="0" collapsed="false">
      <c r="A65" s="4"/>
      <c r="B65" s="4"/>
      <c r="C65" s="4"/>
      <c r="D65" s="5"/>
      <c r="E65" s="5"/>
      <c r="F65" s="6"/>
      <c r="G65" s="7" t="str">
        <f aca="false">IF($A65="","",SUMIFS(Movimientos!$E$5:$E$504,Movimientos!$B$5:$B$504,$A65,Movimientos!$D$5:$D$504,"Entrada"))</f>
        <v/>
      </c>
      <c r="H65" s="7" t="str">
        <f aca="false">IF($A65="","",SUMIFS(Movimientos!$E$5:$E$504,Movimientos!$B$5:$B$504,$A65,Movimientos!$D$5:$D$504,"Salida"))</f>
        <v/>
      </c>
      <c r="I65" s="7" t="str">
        <f aca="false">IF($A65="","",F65+G65-H65)</f>
        <v/>
      </c>
      <c r="J65" s="6"/>
      <c r="K65" s="8" t="str">
        <f aca="false">IF($A65="","",IF(I65&lt;=J65,"REPONER",""))</f>
        <v/>
      </c>
      <c r="L65" s="9" t="str">
        <f aca="false">IF($A65="","",I65*D65)</f>
        <v/>
      </c>
    </row>
    <row r="66" customFormat="false" ht="15" hidden="false" customHeight="false" outlineLevel="0" collapsed="false">
      <c r="A66" s="4"/>
      <c r="B66" s="4"/>
      <c r="C66" s="4"/>
      <c r="D66" s="5"/>
      <c r="E66" s="5"/>
      <c r="F66" s="6"/>
      <c r="G66" s="7" t="str">
        <f aca="false">IF($A66="","",SUMIFS(Movimientos!$E$5:$E$504,Movimientos!$B$5:$B$504,$A66,Movimientos!$D$5:$D$504,"Entrada"))</f>
        <v/>
      </c>
      <c r="H66" s="7" t="str">
        <f aca="false">IF($A66="","",SUMIFS(Movimientos!$E$5:$E$504,Movimientos!$B$5:$B$504,$A66,Movimientos!$D$5:$D$504,"Salida"))</f>
        <v/>
      </c>
      <c r="I66" s="7" t="str">
        <f aca="false">IF($A66="","",F66+G66-H66)</f>
        <v/>
      </c>
      <c r="J66" s="6"/>
      <c r="K66" s="8" t="str">
        <f aca="false">IF($A66="","",IF(I66&lt;=J66,"REPONER",""))</f>
        <v/>
      </c>
      <c r="L66" s="9" t="str">
        <f aca="false">IF($A66="","",I66*D66)</f>
        <v/>
      </c>
    </row>
    <row r="67" customFormat="false" ht="15" hidden="false" customHeight="false" outlineLevel="0" collapsed="false">
      <c r="A67" s="4"/>
      <c r="B67" s="4"/>
      <c r="C67" s="4"/>
      <c r="D67" s="5"/>
      <c r="E67" s="5"/>
      <c r="F67" s="6"/>
      <c r="G67" s="7" t="str">
        <f aca="false">IF($A67="","",SUMIFS(Movimientos!$E$5:$E$504,Movimientos!$B$5:$B$504,$A67,Movimientos!$D$5:$D$504,"Entrada"))</f>
        <v/>
      </c>
      <c r="H67" s="7" t="str">
        <f aca="false">IF($A67="","",SUMIFS(Movimientos!$E$5:$E$504,Movimientos!$B$5:$B$504,$A67,Movimientos!$D$5:$D$504,"Salida"))</f>
        <v/>
      </c>
      <c r="I67" s="7" t="str">
        <f aca="false">IF($A67="","",F67+G67-H67)</f>
        <v/>
      </c>
      <c r="J67" s="6"/>
      <c r="K67" s="8" t="str">
        <f aca="false">IF($A67="","",IF(I67&lt;=J67,"REPONER",""))</f>
        <v/>
      </c>
      <c r="L67" s="9" t="str">
        <f aca="false">IF($A67="","",I67*D67)</f>
        <v/>
      </c>
    </row>
    <row r="68" customFormat="false" ht="15" hidden="false" customHeight="false" outlineLevel="0" collapsed="false">
      <c r="A68" s="4"/>
      <c r="B68" s="4"/>
      <c r="C68" s="4"/>
      <c r="D68" s="5"/>
      <c r="E68" s="5"/>
      <c r="F68" s="6"/>
      <c r="G68" s="7" t="str">
        <f aca="false">IF($A68="","",SUMIFS(Movimientos!$E$5:$E$504,Movimientos!$B$5:$B$504,$A68,Movimientos!$D$5:$D$504,"Entrada"))</f>
        <v/>
      </c>
      <c r="H68" s="7" t="str">
        <f aca="false">IF($A68="","",SUMIFS(Movimientos!$E$5:$E$504,Movimientos!$B$5:$B$504,$A68,Movimientos!$D$5:$D$504,"Salida"))</f>
        <v/>
      </c>
      <c r="I68" s="7" t="str">
        <f aca="false">IF($A68="","",F68+G68-H68)</f>
        <v/>
      </c>
      <c r="J68" s="6"/>
      <c r="K68" s="8" t="str">
        <f aca="false">IF($A68="","",IF(I68&lt;=J68,"REPONER",""))</f>
        <v/>
      </c>
      <c r="L68" s="9" t="str">
        <f aca="false">IF($A68="","",I68*D68)</f>
        <v/>
      </c>
    </row>
    <row r="69" customFormat="false" ht="15" hidden="false" customHeight="false" outlineLevel="0" collapsed="false">
      <c r="A69" s="4"/>
      <c r="B69" s="4"/>
      <c r="C69" s="4"/>
      <c r="D69" s="5"/>
      <c r="E69" s="5"/>
      <c r="F69" s="6"/>
      <c r="G69" s="7" t="str">
        <f aca="false">IF($A69="","",SUMIFS(Movimientos!$E$5:$E$504,Movimientos!$B$5:$B$504,$A69,Movimientos!$D$5:$D$504,"Entrada"))</f>
        <v/>
      </c>
      <c r="H69" s="7" t="str">
        <f aca="false">IF($A69="","",SUMIFS(Movimientos!$E$5:$E$504,Movimientos!$B$5:$B$504,$A69,Movimientos!$D$5:$D$504,"Salida"))</f>
        <v/>
      </c>
      <c r="I69" s="7" t="str">
        <f aca="false">IF($A69="","",F69+G69-H69)</f>
        <v/>
      </c>
      <c r="J69" s="6"/>
      <c r="K69" s="8" t="str">
        <f aca="false">IF($A69="","",IF(I69&lt;=J69,"REPONER",""))</f>
        <v/>
      </c>
      <c r="L69" s="9" t="str">
        <f aca="false">IF($A69="","",I69*D69)</f>
        <v/>
      </c>
    </row>
    <row r="70" customFormat="false" ht="15" hidden="false" customHeight="false" outlineLevel="0" collapsed="false">
      <c r="A70" s="4"/>
      <c r="B70" s="4"/>
      <c r="C70" s="4"/>
      <c r="D70" s="5"/>
      <c r="E70" s="5"/>
      <c r="F70" s="6"/>
      <c r="G70" s="7" t="str">
        <f aca="false">IF($A70="","",SUMIFS(Movimientos!$E$5:$E$504,Movimientos!$B$5:$B$504,$A70,Movimientos!$D$5:$D$504,"Entrada"))</f>
        <v/>
      </c>
      <c r="H70" s="7" t="str">
        <f aca="false">IF($A70="","",SUMIFS(Movimientos!$E$5:$E$504,Movimientos!$B$5:$B$504,$A70,Movimientos!$D$5:$D$504,"Salida"))</f>
        <v/>
      </c>
      <c r="I70" s="7" t="str">
        <f aca="false">IF($A70="","",F70+G70-H70)</f>
        <v/>
      </c>
      <c r="J70" s="6"/>
      <c r="K70" s="8" t="str">
        <f aca="false">IF($A70="","",IF(I70&lt;=J70,"REPONER",""))</f>
        <v/>
      </c>
      <c r="L70" s="9" t="str">
        <f aca="false">IF($A70="","",I70*D70)</f>
        <v/>
      </c>
    </row>
    <row r="71" customFormat="false" ht="15" hidden="false" customHeight="false" outlineLevel="0" collapsed="false">
      <c r="A71" s="4"/>
      <c r="B71" s="4"/>
      <c r="C71" s="4"/>
      <c r="D71" s="5"/>
      <c r="E71" s="5"/>
      <c r="F71" s="6"/>
      <c r="G71" s="7" t="str">
        <f aca="false">IF($A71="","",SUMIFS(Movimientos!$E$5:$E$504,Movimientos!$B$5:$B$504,$A71,Movimientos!$D$5:$D$504,"Entrada"))</f>
        <v/>
      </c>
      <c r="H71" s="7" t="str">
        <f aca="false">IF($A71="","",SUMIFS(Movimientos!$E$5:$E$504,Movimientos!$B$5:$B$504,$A71,Movimientos!$D$5:$D$504,"Salida"))</f>
        <v/>
      </c>
      <c r="I71" s="7" t="str">
        <f aca="false">IF($A71="","",F71+G71-H71)</f>
        <v/>
      </c>
      <c r="J71" s="6"/>
      <c r="K71" s="8" t="str">
        <f aca="false">IF($A71="","",IF(I71&lt;=J71,"REPONER",""))</f>
        <v/>
      </c>
      <c r="L71" s="9" t="str">
        <f aca="false">IF($A71="","",I71*D71)</f>
        <v/>
      </c>
    </row>
    <row r="72" customFormat="false" ht="15" hidden="false" customHeight="false" outlineLevel="0" collapsed="false">
      <c r="A72" s="4"/>
      <c r="B72" s="4"/>
      <c r="C72" s="4"/>
      <c r="D72" s="5"/>
      <c r="E72" s="5"/>
      <c r="F72" s="6"/>
      <c r="G72" s="7" t="str">
        <f aca="false">IF($A72="","",SUMIFS(Movimientos!$E$5:$E$504,Movimientos!$B$5:$B$504,$A72,Movimientos!$D$5:$D$504,"Entrada"))</f>
        <v/>
      </c>
      <c r="H72" s="7" t="str">
        <f aca="false">IF($A72="","",SUMIFS(Movimientos!$E$5:$E$504,Movimientos!$B$5:$B$504,$A72,Movimientos!$D$5:$D$504,"Salida"))</f>
        <v/>
      </c>
      <c r="I72" s="7" t="str">
        <f aca="false">IF($A72="","",F72+G72-H72)</f>
        <v/>
      </c>
      <c r="J72" s="6"/>
      <c r="K72" s="8" t="str">
        <f aca="false">IF($A72="","",IF(I72&lt;=J72,"REPONER",""))</f>
        <v/>
      </c>
      <c r="L72" s="9" t="str">
        <f aca="false">IF($A72="","",I72*D72)</f>
        <v/>
      </c>
    </row>
    <row r="73" customFormat="false" ht="15" hidden="false" customHeight="false" outlineLevel="0" collapsed="false">
      <c r="A73" s="4"/>
      <c r="B73" s="4"/>
      <c r="C73" s="4"/>
      <c r="D73" s="5"/>
      <c r="E73" s="5"/>
      <c r="F73" s="6"/>
      <c r="G73" s="7" t="str">
        <f aca="false">IF($A73="","",SUMIFS(Movimientos!$E$5:$E$504,Movimientos!$B$5:$B$504,$A73,Movimientos!$D$5:$D$504,"Entrada"))</f>
        <v/>
      </c>
      <c r="H73" s="7" t="str">
        <f aca="false">IF($A73="","",SUMIFS(Movimientos!$E$5:$E$504,Movimientos!$B$5:$B$504,$A73,Movimientos!$D$5:$D$504,"Salida"))</f>
        <v/>
      </c>
      <c r="I73" s="7" t="str">
        <f aca="false">IF($A73="","",F73+G73-H73)</f>
        <v/>
      </c>
      <c r="J73" s="6"/>
      <c r="K73" s="8" t="str">
        <f aca="false">IF($A73="","",IF(I73&lt;=J73,"REPONER",""))</f>
        <v/>
      </c>
      <c r="L73" s="9" t="str">
        <f aca="false">IF($A73="","",I73*D73)</f>
        <v/>
      </c>
    </row>
    <row r="74" customFormat="false" ht="15" hidden="false" customHeight="false" outlineLevel="0" collapsed="false">
      <c r="A74" s="4"/>
      <c r="B74" s="4"/>
      <c r="C74" s="4"/>
      <c r="D74" s="5"/>
      <c r="E74" s="5"/>
      <c r="F74" s="6"/>
      <c r="G74" s="7" t="str">
        <f aca="false">IF($A74="","",SUMIFS(Movimientos!$E$5:$E$504,Movimientos!$B$5:$B$504,$A74,Movimientos!$D$5:$D$504,"Entrada"))</f>
        <v/>
      </c>
      <c r="H74" s="7" t="str">
        <f aca="false">IF($A74="","",SUMIFS(Movimientos!$E$5:$E$504,Movimientos!$B$5:$B$504,$A74,Movimientos!$D$5:$D$504,"Salida"))</f>
        <v/>
      </c>
      <c r="I74" s="7" t="str">
        <f aca="false">IF($A74="","",F74+G74-H74)</f>
        <v/>
      </c>
      <c r="J74" s="6"/>
      <c r="K74" s="8" t="str">
        <f aca="false">IF($A74="","",IF(I74&lt;=J74,"REPONER",""))</f>
        <v/>
      </c>
      <c r="L74" s="9" t="str">
        <f aca="false">IF($A74="","",I74*D74)</f>
        <v/>
      </c>
    </row>
    <row r="75" customFormat="false" ht="15" hidden="false" customHeight="false" outlineLevel="0" collapsed="false">
      <c r="A75" s="4"/>
      <c r="B75" s="4"/>
      <c r="C75" s="4"/>
      <c r="D75" s="5"/>
      <c r="E75" s="5"/>
      <c r="F75" s="6"/>
      <c r="G75" s="7" t="str">
        <f aca="false">IF($A75="","",SUMIFS(Movimientos!$E$5:$E$504,Movimientos!$B$5:$B$504,$A75,Movimientos!$D$5:$D$504,"Entrada"))</f>
        <v/>
      </c>
      <c r="H75" s="7" t="str">
        <f aca="false">IF($A75="","",SUMIFS(Movimientos!$E$5:$E$504,Movimientos!$B$5:$B$504,$A75,Movimientos!$D$5:$D$504,"Salida"))</f>
        <v/>
      </c>
      <c r="I75" s="7" t="str">
        <f aca="false">IF($A75="","",F75+G75-H75)</f>
        <v/>
      </c>
      <c r="J75" s="6"/>
      <c r="K75" s="8" t="str">
        <f aca="false">IF($A75="","",IF(I75&lt;=J75,"REPONER",""))</f>
        <v/>
      </c>
      <c r="L75" s="9" t="str">
        <f aca="false">IF($A75="","",I75*D75)</f>
        <v/>
      </c>
    </row>
    <row r="76" customFormat="false" ht="15" hidden="false" customHeight="false" outlineLevel="0" collapsed="false">
      <c r="A76" s="4"/>
      <c r="B76" s="4"/>
      <c r="C76" s="4"/>
      <c r="D76" s="5"/>
      <c r="E76" s="5"/>
      <c r="F76" s="6"/>
      <c r="G76" s="7" t="str">
        <f aca="false">IF($A76="","",SUMIFS(Movimientos!$E$5:$E$504,Movimientos!$B$5:$B$504,$A76,Movimientos!$D$5:$D$504,"Entrada"))</f>
        <v/>
      </c>
      <c r="H76" s="7" t="str">
        <f aca="false">IF($A76="","",SUMIFS(Movimientos!$E$5:$E$504,Movimientos!$B$5:$B$504,$A76,Movimientos!$D$5:$D$504,"Salida"))</f>
        <v/>
      </c>
      <c r="I76" s="7" t="str">
        <f aca="false">IF($A76="","",F76+G76-H76)</f>
        <v/>
      </c>
      <c r="J76" s="6"/>
      <c r="K76" s="8" t="str">
        <f aca="false">IF($A76="","",IF(I76&lt;=J76,"REPONER",""))</f>
        <v/>
      </c>
      <c r="L76" s="9" t="str">
        <f aca="false">IF($A76="","",I76*D76)</f>
        <v/>
      </c>
    </row>
    <row r="77" customFormat="false" ht="15" hidden="false" customHeight="false" outlineLevel="0" collapsed="false">
      <c r="A77" s="4"/>
      <c r="B77" s="4"/>
      <c r="C77" s="4"/>
      <c r="D77" s="5"/>
      <c r="E77" s="5"/>
      <c r="F77" s="6"/>
      <c r="G77" s="7" t="str">
        <f aca="false">IF($A77="","",SUMIFS(Movimientos!$E$5:$E$504,Movimientos!$B$5:$B$504,$A77,Movimientos!$D$5:$D$504,"Entrada"))</f>
        <v/>
      </c>
      <c r="H77" s="7" t="str">
        <f aca="false">IF($A77="","",SUMIFS(Movimientos!$E$5:$E$504,Movimientos!$B$5:$B$504,$A77,Movimientos!$D$5:$D$504,"Salida"))</f>
        <v/>
      </c>
      <c r="I77" s="7" t="str">
        <f aca="false">IF($A77="","",F77+G77-H77)</f>
        <v/>
      </c>
      <c r="J77" s="6"/>
      <c r="K77" s="8" t="str">
        <f aca="false">IF($A77="","",IF(I77&lt;=J77,"REPONER",""))</f>
        <v/>
      </c>
      <c r="L77" s="9" t="str">
        <f aca="false">IF($A77="","",I77*D77)</f>
        <v/>
      </c>
    </row>
    <row r="78" customFormat="false" ht="15" hidden="false" customHeight="false" outlineLevel="0" collapsed="false">
      <c r="A78" s="4"/>
      <c r="B78" s="4"/>
      <c r="C78" s="4"/>
      <c r="D78" s="5"/>
      <c r="E78" s="5"/>
      <c r="F78" s="6"/>
      <c r="G78" s="7" t="str">
        <f aca="false">IF($A78="","",SUMIFS(Movimientos!$E$5:$E$504,Movimientos!$B$5:$B$504,$A78,Movimientos!$D$5:$D$504,"Entrada"))</f>
        <v/>
      </c>
      <c r="H78" s="7" t="str">
        <f aca="false">IF($A78="","",SUMIFS(Movimientos!$E$5:$E$504,Movimientos!$B$5:$B$504,$A78,Movimientos!$D$5:$D$504,"Salida"))</f>
        <v/>
      </c>
      <c r="I78" s="7" t="str">
        <f aca="false">IF($A78="","",F78+G78-H78)</f>
        <v/>
      </c>
      <c r="J78" s="6"/>
      <c r="K78" s="8" t="str">
        <f aca="false">IF($A78="","",IF(I78&lt;=J78,"REPONER",""))</f>
        <v/>
      </c>
      <c r="L78" s="9" t="str">
        <f aca="false">IF($A78="","",I78*D78)</f>
        <v/>
      </c>
    </row>
    <row r="79" customFormat="false" ht="15" hidden="false" customHeight="false" outlineLevel="0" collapsed="false">
      <c r="A79" s="4"/>
      <c r="B79" s="4"/>
      <c r="C79" s="4"/>
      <c r="D79" s="5"/>
      <c r="E79" s="5"/>
      <c r="F79" s="6"/>
      <c r="G79" s="7" t="str">
        <f aca="false">IF($A79="","",SUMIFS(Movimientos!$E$5:$E$504,Movimientos!$B$5:$B$504,$A79,Movimientos!$D$5:$D$504,"Entrada"))</f>
        <v/>
      </c>
      <c r="H79" s="7" t="str">
        <f aca="false">IF($A79="","",SUMIFS(Movimientos!$E$5:$E$504,Movimientos!$B$5:$B$504,$A79,Movimientos!$D$5:$D$504,"Salida"))</f>
        <v/>
      </c>
      <c r="I79" s="7" t="str">
        <f aca="false">IF($A79="","",F79+G79-H79)</f>
        <v/>
      </c>
      <c r="J79" s="6"/>
      <c r="K79" s="8" t="str">
        <f aca="false">IF($A79="","",IF(I79&lt;=J79,"REPONER",""))</f>
        <v/>
      </c>
      <c r="L79" s="9" t="str">
        <f aca="false">IF($A79="","",I79*D79)</f>
        <v/>
      </c>
    </row>
    <row r="80" customFormat="false" ht="15" hidden="false" customHeight="false" outlineLevel="0" collapsed="false">
      <c r="A80" s="4"/>
      <c r="B80" s="4"/>
      <c r="C80" s="4"/>
      <c r="D80" s="5"/>
      <c r="E80" s="5"/>
      <c r="F80" s="6"/>
      <c r="G80" s="7" t="str">
        <f aca="false">IF($A80="","",SUMIFS(Movimientos!$E$5:$E$504,Movimientos!$B$5:$B$504,$A80,Movimientos!$D$5:$D$504,"Entrada"))</f>
        <v/>
      </c>
      <c r="H80" s="7" t="str">
        <f aca="false">IF($A80="","",SUMIFS(Movimientos!$E$5:$E$504,Movimientos!$B$5:$B$504,$A80,Movimientos!$D$5:$D$504,"Salida"))</f>
        <v/>
      </c>
      <c r="I80" s="7" t="str">
        <f aca="false">IF($A80="","",F80+G80-H80)</f>
        <v/>
      </c>
      <c r="J80" s="6"/>
      <c r="K80" s="8" t="str">
        <f aca="false">IF($A80="","",IF(I80&lt;=J80,"REPONER",""))</f>
        <v/>
      </c>
      <c r="L80" s="9" t="str">
        <f aca="false">IF($A80="","",I80*D80)</f>
        <v/>
      </c>
    </row>
    <row r="81" customFormat="false" ht="15" hidden="false" customHeight="false" outlineLevel="0" collapsed="false">
      <c r="A81" s="4"/>
      <c r="B81" s="4"/>
      <c r="C81" s="4"/>
      <c r="D81" s="5"/>
      <c r="E81" s="5"/>
      <c r="F81" s="6"/>
      <c r="G81" s="7" t="str">
        <f aca="false">IF($A81="","",SUMIFS(Movimientos!$E$5:$E$504,Movimientos!$B$5:$B$504,$A81,Movimientos!$D$5:$D$504,"Entrada"))</f>
        <v/>
      </c>
      <c r="H81" s="7" t="str">
        <f aca="false">IF($A81="","",SUMIFS(Movimientos!$E$5:$E$504,Movimientos!$B$5:$B$504,$A81,Movimientos!$D$5:$D$504,"Salida"))</f>
        <v/>
      </c>
      <c r="I81" s="7" t="str">
        <f aca="false">IF($A81="","",F81+G81-H81)</f>
        <v/>
      </c>
      <c r="J81" s="6"/>
      <c r="K81" s="8" t="str">
        <f aca="false">IF($A81="","",IF(I81&lt;=J81,"REPONER",""))</f>
        <v/>
      </c>
      <c r="L81" s="9" t="str">
        <f aca="false">IF($A81="","",I81*D81)</f>
        <v/>
      </c>
    </row>
    <row r="82" customFormat="false" ht="15" hidden="false" customHeight="false" outlineLevel="0" collapsed="false">
      <c r="A82" s="4"/>
      <c r="B82" s="4"/>
      <c r="C82" s="4"/>
      <c r="D82" s="5"/>
      <c r="E82" s="5"/>
      <c r="F82" s="6"/>
      <c r="G82" s="7" t="str">
        <f aca="false">IF($A82="","",SUMIFS(Movimientos!$E$5:$E$504,Movimientos!$B$5:$B$504,$A82,Movimientos!$D$5:$D$504,"Entrada"))</f>
        <v/>
      </c>
      <c r="H82" s="7" t="str">
        <f aca="false">IF($A82="","",SUMIFS(Movimientos!$E$5:$E$504,Movimientos!$B$5:$B$504,$A82,Movimientos!$D$5:$D$504,"Salida"))</f>
        <v/>
      </c>
      <c r="I82" s="7" t="str">
        <f aca="false">IF($A82="","",F82+G82-H82)</f>
        <v/>
      </c>
      <c r="J82" s="6"/>
      <c r="K82" s="8" t="str">
        <f aca="false">IF($A82="","",IF(I82&lt;=J82,"REPONER",""))</f>
        <v/>
      </c>
      <c r="L82" s="9" t="str">
        <f aca="false">IF($A82="","",I82*D82)</f>
        <v/>
      </c>
    </row>
    <row r="83" customFormat="false" ht="15" hidden="false" customHeight="false" outlineLevel="0" collapsed="false">
      <c r="A83" s="4"/>
      <c r="B83" s="4"/>
      <c r="C83" s="4"/>
      <c r="D83" s="5"/>
      <c r="E83" s="5"/>
      <c r="F83" s="6"/>
      <c r="G83" s="7" t="str">
        <f aca="false">IF($A83="","",SUMIFS(Movimientos!$E$5:$E$504,Movimientos!$B$5:$B$504,$A83,Movimientos!$D$5:$D$504,"Entrada"))</f>
        <v/>
      </c>
      <c r="H83" s="7" t="str">
        <f aca="false">IF($A83="","",SUMIFS(Movimientos!$E$5:$E$504,Movimientos!$B$5:$B$504,$A83,Movimientos!$D$5:$D$504,"Salida"))</f>
        <v/>
      </c>
      <c r="I83" s="7" t="str">
        <f aca="false">IF($A83="","",F83+G83-H83)</f>
        <v/>
      </c>
      <c r="J83" s="6"/>
      <c r="K83" s="8" t="str">
        <f aca="false">IF($A83="","",IF(I83&lt;=J83,"REPONER",""))</f>
        <v/>
      </c>
      <c r="L83" s="9" t="str">
        <f aca="false">IF($A83="","",I83*D83)</f>
        <v/>
      </c>
    </row>
    <row r="84" customFormat="false" ht="15" hidden="false" customHeight="false" outlineLevel="0" collapsed="false">
      <c r="A84" s="4"/>
      <c r="B84" s="4"/>
      <c r="C84" s="4"/>
      <c r="D84" s="5"/>
      <c r="E84" s="5"/>
      <c r="F84" s="6"/>
      <c r="G84" s="7" t="str">
        <f aca="false">IF($A84="","",SUMIFS(Movimientos!$E$5:$E$504,Movimientos!$B$5:$B$504,$A84,Movimientos!$D$5:$D$504,"Entrada"))</f>
        <v/>
      </c>
      <c r="H84" s="7" t="str">
        <f aca="false">IF($A84="","",SUMIFS(Movimientos!$E$5:$E$504,Movimientos!$B$5:$B$504,$A84,Movimientos!$D$5:$D$504,"Salida"))</f>
        <v/>
      </c>
      <c r="I84" s="7" t="str">
        <f aca="false">IF($A84="","",F84+G84-H84)</f>
        <v/>
      </c>
      <c r="J84" s="6"/>
      <c r="K84" s="8" t="str">
        <f aca="false">IF($A84="","",IF(I84&lt;=J84,"REPONER",""))</f>
        <v/>
      </c>
      <c r="L84" s="9" t="str">
        <f aca="false">IF($A84="","",I84*D84)</f>
        <v/>
      </c>
    </row>
    <row r="85" customFormat="false" ht="15" hidden="false" customHeight="false" outlineLevel="0" collapsed="false">
      <c r="A85" s="4"/>
      <c r="B85" s="4"/>
      <c r="C85" s="4"/>
      <c r="D85" s="5"/>
      <c r="E85" s="5"/>
      <c r="F85" s="6"/>
      <c r="G85" s="7" t="str">
        <f aca="false">IF($A85="","",SUMIFS(Movimientos!$E$5:$E$504,Movimientos!$B$5:$B$504,$A85,Movimientos!$D$5:$D$504,"Entrada"))</f>
        <v/>
      </c>
      <c r="H85" s="7" t="str">
        <f aca="false">IF($A85="","",SUMIFS(Movimientos!$E$5:$E$504,Movimientos!$B$5:$B$504,$A85,Movimientos!$D$5:$D$504,"Salida"))</f>
        <v/>
      </c>
      <c r="I85" s="7" t="str">
        <f aca="false">IF($A85="","",F85+G85-H85)</f>
        <v/>
      </c>
      <c r="J85" s="6"/>
      <c r="K85" s="8" t="str">
        <f aca="false">IF($A85="","",IF(I85&lt;=J85,"REPONER",""))</f>
        <v/>
      </c>
      <c r="L85" s="9" t="str">
        <f aca="false">IF($A85="","",I85*D85)</f>
        <v/>
      </c>
    </row>
    <row r="86" customFormat="false" ht="15" hidden="false" customHeight="false" outlineLevel="0" collapsed="false">
      <c r="A86" s="4"/>
      <c r="B86" s="4"/>
      <c r="C86" s="4"/>
      <c r="D86" s="5"/>
      <c r="E86" s="5"/>
      <c r="F86" s="6"/>
      <c r="G86" s="7" t="str">
        <f aca="false">IF($A86="","",SUMIFS(Movimientos!$E$5:$E$504,Movimientos!$B$5:$B$504,$A86,Movimientos!$D$5:$D$504,"Entrada"))</f>
        <v/>
      </c>
      <c r="H86" s="7" t="str">
        <f aca="false">IF($A86="","",SUMIFS(Movimientos!$E$5:$E$504,Movimientos!$B$5:$B$504,$A86,Movimientos!$D$5:$D$504,"Salida"))</f>
        <v/>
      </c>
      <c r="I86" s="7" t="str">
        <f aca="false">IF($A86="","",F86+G86-H86)</f>
        <v/>
      </c>
      <c r="J86" s="6"/>
      <c r="K86" s="8" t="str">
        <f aca="false">IF($A86="","",IF(I86&lt;=J86,"REPONER",""))</f>
        <v/>
      </c>
      <c r="L86" s="9" t="str">
        <f aca="false">IF($A86="","",I86*D86)</f>
        <v/>
      </c>
    </row>
    <row r="87" customFormat="false" ht="15" hidden="false" customHeight="false" outlineLevel="0" collapsed="false">
      <c r="A87" s="4"/>
      <c r="B87" s="4"/>
      <c r="C87" s="4"/>
      <c r="D87" s="5"/>
      <c r="E87" s="5"/>
      <c r="F87" s="6"/>
      <c r="G87" s="7" t="str">
        <f aca="false">IF($A87="","",SUMIFS(Movimientos!$E$5:$E$504,Movimientos!$B$5:$B$504,$A87,Movimientos!$D$5:$D$504,"Entrada"))</f>
        <v/>
      </c>
      <c r="H87" s="7" t="str">
        <f aca="false">IF($A87="","",SUMIFS(Movimientos!$E$5:$E$504,Movimientos!$B$5:$B$504,$A87,Movimientos!$D$5:$D$504,"Salida"))</f>
        <v/>
      </c>
      <c r="I87" s="7" t="str">
        <f aca="false">IF($A87="","",F87+G87-H87)</f>
        <v/>
      </c>
      <c r="J87" s="6"/>
      <c r="K87" s="8" t="str">
        <f aca="false">IF($A87="","",IF(I87&lt;=J87,"REPONER",""))</f>
        <v/>
      </c>
      <c r="L87" s="9" t="str">
        <f aca="false">IF($A87="","",I87*D87)</f>
        <v/>
      </c>
    </row>
    <row r="88" customFormat="false" ht="15" hidden="false" customHeight="false" outlineLevel="0" collapsed="false">
      <c r="A88" s="4"/>
      <c r="B88" s="4"/>
      <c r="C88" s="4"/>
      <c r="D88" s="5"/>
      <c r="E88" s="5"/>
      <c r="F88" s="6"/>
      <c r="G88" s="7" t="str">
        <f aca="false">IF($A88="","",SUMIFS(Movimientos!$E$5:$E$504,Movimientos!$B$5:$B$504,$A88,Movimientos!$D$5:$D$504,"Entrada"))</f>
        <v/>
      </c>
      <c r="H88" s="7" t="str">
        <f aca="false">IF($A88="","",SUMIFS(Movimientos!$E$5:$E$504,Movimientos!$B$5:$B$504,$A88,Movimientos!$D$5:$D$504,"Salida"))</f>
        <v/>
      </c>
      <c r="I88" s="7" t="str">
        <f aca="false">IF($A88="","",F88+G88-H88)</f>
        <v/>
      </c>
      <c r="J88" s="6"/>
      <c r="K88" s="8" t="str">
        <f aca="false">IF($A88="","",IF(I88&lt;=J88,"REPONER",""))</f>
        <v/>
      </c>
      <c r="L88" s="9" t="str">
        <f aca="false">IF($A88="","",I88*D88)</f>
        <v/>
      </c>
    </row>
    <row r="89" customFormat="false" ht="15" hidden="false" customHeight="false" outlineLevel="0" collapsed="false">
      <c r="A89" s="4"/>
      <c r="B89" s="4"/>
      <c r="C89" s="4"/>
      <c r="D89" s="5"/>
      <c r="E89" s="5"/>
      <c r="F89" s="6"/>
      <c r="G89" s="7" t="str">
        <f aca="false">IF($A89="","",SUMIFS(Movimientos!$E$5:$E$504,Movimientos!$B$5:$B$504,$A89,Movimientos!$D$5:$D$504,"Entrada"))</f>
        <v/>
      </c>
      <c r="H89" s="7" t="str">
        <f aca="false">IF($A89="","",SUMIFS(Movimientos!$E$5:$E$504,Movimientos!$B$5:$B$504,$A89,Movimientos!$D$5:$D$504,"Salida"))</f>
        <v/>
      </c>
      <c r="I89" s="7" t="str">
        <f aca="false">IF($A89="","",F89+G89-H89)</f>
        <v/>
      </c>
      <c r="J89" s="6"/>
      <c r="K89" s="8" t="str">
        <f aca="false">IF($A89="","",IF(I89&lt;=J89,"REPONER",""))</f>
        <v/>
      </c>
      <c r="L89" s="9" t="str">
        <f aca="false">IF($A89="","",I89*D89)</f>
        <v/>
      </c>
    </row>
    <row r="90" customFormat="false" ht="15" hidden="false" customHeight="false" outlineLevel="0" collapsed="false">
      <c r="A90" s="4"/>
      <c r="B90" s="4"/>
      <c r="C90" s="4"/>
      <c r="D90" s="5"/>
      <c r="E90" s="5"/>
      <c r="F90" s="6"/>
      <c r="G90" s="7" t="str">
        <f aca="false">IF($A90="","",SUMIFS(Movimientos!$E$5:$E$504,Movimientos!$B$5:$B$504,$A90,Movimientos!$D$5:$D$504,"Entrada"))</f>
        <v/>
      </c>
      <c r="H90" s="7" t="str">
        <f aca="false">IF($A90="","",SUMIFS(Movimientos!$E$5:$E$504,Movimientos!$B$5:$B$504,$A90,Movimientos!$D$5:$D$504,"Salida"))</f>
        <v/>
      </c>
      <c r="I90" s="7" t="str">
        <f aca="false">IF($A90="","",F90+G90-H90)</f>
        <v/>
      </c>
      <c r="J90" s="6"/>
      <c r="K90" s="8" t="str">
        <f aca="false">IF($A90="","",IF(I90&lt;=J90,"REPONER",""))</f>
        <v/>
      </c>
      <c r="L90" s="9" t="str">
        <f aca="false">IF($A90="","",I90*D90)</f>
        <v/>
      </c>
    </row>
    <row r="91" customFormat="false" ht="15" hidden="false" customHeight="false" outlineLevel="0" collapsed="false">
      <c r="A91" s="4"/>
      <c r="B91" s="4"/>
      <c r="C91" s="4"/>
      <c r="D91" s="5"/>
      <c r="E91" s="5"/>
      <c r="F91" s="6"/>
      <c r="G91" s="7" t="str">
        <f aca="false">IF($A91="","",SUMIFS(Movimientos!$E$5:$E$504,Movimientos!$B$5:$B$504,$A91,Movimientos!$D$5:$D$504,"Entrada"))</f>
        <v/>
      </c>
      <c r="H91" s="7" t="str">
        <f aca="false">IF($A91="","",SUMIFS(Movimientos!$E$5:$E$504,Movimientos!$B$5:$B$504,$A91,Movimientos!$D$5:$D$504,"Salida"))</f>
        <v/>
      </c>
      <c r="I91" s="7" t="str">
        <f aca="false">IF($A91="","",F91+G91-H91)</f>
        <v/>
      </c>
      <c r="J91" s="6"/>
      <c r="K91" s="8" t="str">
        <f aca="false">IF($A91="","",IF(I91&lt;=J91,"REPONER",""))</f>
        <v/>
      </c>
      <c r="L91" s="9" t="str">
        <f aca="false">IF($A91="","",I91*D91)</f>
        <v/>
      </c>
    </row>
    <row r="92" customFormat="false" ht="15" hidden="false" customHeight="false" outlineLevel="0" collapsed="false">
      <c r="A92" s="4"/>
      <c r="B92" s="4"/>
      <c r="C92" s="4"/>
      <c r="D92" s="5"/>
      <c r="E92" s="5"/>
      <c r="F92" s="6"/>
      <c r="G92" s="7" t="str">
        <f aca="false">IF($A92="","",SUMIFS(Movimientos!$E$5:$E$504,Movimientos!$B$5:$B$504,$A92,Movimientos!$D$5:$D$504,"Entrada"))</f>
        <v/>
      </c>
      <c r="H92" s="7" t="str">
        <f aca="false">IF($A92="","",SUMIFS(Movimientos!$E$5:$E$504,Movimientos!$B$5:$B$504,$A92,Movimientos!$D$5:$D$504,"Salida"))</f>
        <v/>
      </c>
      <c r="I92" s="7" t="str">
        <f aca="false">IF($A92="","",F92+G92-H92)</f>
        <v/>
      </c>
      <c r="J92" s="6"/>
      <c r="K92" s="8" t="str">
        <f aca="false">IF($A92="","",IF(I92&lt;=J92,"REPONER",""))</f>
        <v/>
      </c>
      <c r="L92" s="9" t="str">
        <f aca="false">IF($A92="","",I92*D92)</f>
        <v/>
      </c>
    </row>
    <row r="93" customFormat="false" ht="15" hidden="false" customHeight="false" outlineLevel="0" collapsed="false">
      <c r="A93" s="4"/>
      <c r="B93" s="4"/>
      <c r="C93" s="4"/>
      <c r="D93" s="5"/>
      <c r="E93" s="5"/>
      <c r="F93" s="6"/>
      <c r="G93" s="7" t="str">
        <f aca="false">IF($A93="","",SUMIFS(Movimientos!$E$5:$E$504,Movimientos!$B$5:$B$504,$A93,Movimientos!$D$5:$D$504,"Entrada"))</f>
        <v/>
      </c>
      <c r="H93" s="7" t="str">
        <f aca="false">IF($A93="","",SUMIFS(Movimientos!$E$5:$E$504,Movimientos!$B$5:$B$504,$A93,Movimientos!$D$5:$D$504,"Salida"))</f>
        <v/>
      </c>
      <c r="I93" s="7" t="str">
        <f aca="false">IF($A93="","",F93+G93-H93)</f>
        <v/>
      </c>
      <c r="J93" s="6"/>
      <c r="K93" s="8" t="str">
        <f aca="false">IF($A93="","",IF(I93&lt;=J93,"REPONER",""))</f>
        <v/>
      </c>
      <c r="L93" s="9" t="str">
        <f aca="false">IF($A93="","",I93*D93)</f>
        <v/>
      </c>
    </row>
    <row r="94" customFormat="false" ht="15" hidden="false" customHeight="false" outlineLevel="0" collapsed="false">
      <c r="A94" s="4"/>
      <c r="B94" s="4"/>
      <c r="C94" s="4"/>
      <c r="D94" s="5"/>
      <c r="E94" s="5"/>
      <c r="F94" s="6"/>
      <c r="G94" s="7" t="str">
        <f aca="false">IF($A94="","",SUMIFS(Movimientos!$E$5:$E$504,Movimientos!$B$5:$B$504,$A94,Movimientos!$D$5:$D$504,"Entrada"))</f>
        <v/>
      </c>
      <c r="H94" s="7" t="str">
        <f aca="false">IF($A94="","",SUMIFS(Movimientos!$E$5:$E$504,Movimientos!$B$5:$B$504,$A94,Movimientos!$D$5:$D$504,"Salida"))</f>
        <v/>
      </c>
      <c r="I94" s="7" t="str">
        <f aca="false">IF($A94="","",F94+G94-H94)</f>
        <v/>
      </c>
      <c r="J94" s="6"/>
      <c r="K94" s="8" t="str">
        <f aca="false">IF($A94="","",IF(I94&lt;=J94,"REPONER",""))</f>
        <v/>
      </c>
      <c r="L94" s="9" t="str">
        <f aca="false">IF($A94="","",I94*D94)</f>
        <v/>
      </c>
    </row>
    <row r="95" customFormat="false" ht="15" hidden="false" customHeight="false" outlineLevel="0" collapsed="false">
      <c r="A95" s="4"/>
      <c r="B95" s="4"/>
      <c r="C95" s="4"/>
      <c r="D95" s="5"/>
      <c r="E95" s="5"/>
      <c r="F95" s="6"/>
      <c r="G95" s="7" t="str">
        <f aca="false">IF($A95="","",SUMIFS(Movimientos!$E$5:$E$504,Movimientos!$B$5:$B$504,$A95,Movimientos!$D$5:$D$504,"Entrada"))</f>
        <v/>
      </c>
      <c r="H95" s="7" t="str">
        <f aca="false">IF($A95="","",SUMIFS(Movimientos!$E$5:$E$504,Movimientos!$B$5:$B$504,$A95,Movimientos!$D$5:$D$504,"Salida"))</f>
        <v/>
      </c>
      <c r="I95" s="7" t="str">
        <f aca="false">IF($A95="","",F95+G95-H95)</f>
        <v/>
      </c>
      <c r="J95" s="6"/>
      <c r="K95" s="8" t="str">
        <f aca="false">IF($A95="","",IF(I95&lt;=J95,"REPONER",""))</f>
        <v/>
      </c>
      <c r="L95" s="9" t="str">
        <f aca="false">IF($A95="","",I95*D95)</f>
        <v/>
      </c>
    </row>
    <row r="96" customFormat="false" ht="15" hidden="false" customHeight="false" outlineLevel="0" collapsed="false">
      <c r="A96" s="4"/>
      <c r="B96" s="4"/>
      <c r="C96" s="4"/>
      <c r="D96" s="5"/>
      <c r="E96" s="5"/>
      <c r="F96" s="6"/>
      <c r="G96" s="7" t="str">
        <f aca="false">IF($A96="","",SUMIFS(Movimientos!$E$5:$E$504,Movimientos!$B$5:$B$504,$A96,Movimientos!$D$5:$D$504,"Entrada"))</f>
        <v/>
      </c>
      <c r="H96" s="7" t="str">
        <f aca="false">IF($A96="","",SUMIFS(Movimientos!$E$5:$E$504,Movimientos!$B$5:$B$504,$A96,Movimientos!$D$5:$D$504,"Salida"))</f>
        <v/>
      </c>
      <c r="I96" s="7" t="str">
        <f aca="false">IF($A96="","",F96+G96-H96)</f>
        <v/>
      </c>
      <c r="J96" s="6"/>
      <c r="K96" s="8" t="str">
        <f aca="false">IF($A96="","",IF(I96&lt;=J96,"REPONER",""))</f>
        <v/>
      </c>
      <c r="L96" s="9" t="str">
        <f aca="false">IF($A96="","",I96*D96)</f>
        <v/>
      </c>
    </row>
    <row r="97" customFormat="false" ht="15" hidden="false" customHeight="false" outlineLevel="0" collapsed="false">
      <c r="A97" s="4"/>
      <c r="B97" s="4"/>
      <c r="C97" s="4"/>
      <c r="D97" s="5"/>
      <c r="E97" s="5"/>
      <c r="F97" s="6"/>
      <c r="G97" s="7" t="str">
        <f aca="false">IF($A97="","",SUMIFS(Movimientos!$E$5:$E$504,Movimientos!$B$5:$B$504,$A97,Movimientos!$D$5:$D$504,"Entrada"))</f>
        <v/>
      </c>
      <c r="H97" s="7" t="str">
        <f aca="false">IF($A97="","",SUMIFS(Movimientos!$E$5:$E$504,Movimientos!$B$5:$B$504,$A97,Movimientos!$D$5:$D$504,"Salida"))</f>
        <v/>
      </c>
      <c r="I97" s="7" t="str">
        <f aca="false">IF($A97="","",F97+G97-H97)</f>
        <v/>
      </c>
      <c r="J97" s="6"/>
      <c r="K97" s="8" t="str">
        <f aca="false">IF($A97="","",IF(I97&lt;=J97,"REPONER",""))</f>
        <v/>
      </c>
      <c r="L97" s="9" t="str">
        <f aca="false">IF($A97="","",I97*D97)</f>
        <v/>
      </c>
    </row>
    <row r="98" customFormat="false" ht="15" hidden="false" customHeight="false" outlineLevel="0" collapsed="false">
      <c r="A98" s="4"/>
      <c r="B98" s="4"/>
      <c r="C98" s="4"/>
      <c r="D98" s="5"/>
      <c r="E98" s="5"/>
      <c r="F98" s="6"/>
      <c r="G98" s="7" t="str">
        <f aca="false">IF($A98="","",SUMIFS(Movimientos!$E$5:$E$504,Movimientos!$B$5:$B$504,$A98,Movimientos!$D$5:$D$504,"Entrada"))</f>
        <v/>
      </c>
      <c r="H98" s="7" t="str">
        <f aca="false">IF($A98="","",SUMIFS(Movimientos!$E$5:$E$504,Movimientos!$B$5:$B$504,$A98,Movimientos!$D$5:$D$504,"Salida"))</f>
        <v/>
      </c>
      <c r="I98" s="7" t="str">
        <f aca="false">IF($A98="","",F98+G98-H98)</f>
        <v/>
      </c>
      <c r="J98" s="6"/>
      <c r="K98" s="8" t="str">
        <f aca="false">IF($A98="","",IF(I98&lt;=J98,"REPONER",""))</f>
        <v/>
      </c>
      <c r="L98" s="9" t="str">
        <f aca="false">IF($A98="","",I98*D98)</f>
        <v/>
      </c>
    </row>
    <row r="99" customFormat="false" ht="15" hidden="false" customHeight="false" outlineLevel="0" collapsed="false">
      <c r="A99" s="4"/>
      <c r="B99" s="4"/>
      <c r="C99" s="4"/>
      <c r="D99" s="5"/>
      <c r="E99" s="5"/>
      <c r="F99" s="6"/>
      <c r="G99" s="7" t="str">
        <f aca="false">IF($A99="","",SUMIFS(Movimientos!$E$5:$E$504,Movimientos!$B$5:$B$504,$A99,Movimientos!$D$5:$D$504,"Entrada"))</f>
        <v/>
      </c>
      <c r="H99" s="7" t="str">
        <f aca="false">IF($A99="","",SUMIFS(Movimientos!$E$5:$E$504,Movimientos!$B$5:$B$504,$A99,Movimientos!$D$5:$D$504,"Salida"))</f>
        <v/>
      </c>
      <c r="I99" s="7" t="str">
        <f aca="false">IF($A99="","",F99+G99-H99)</f>
        <v/>
      </c>
      <c r="J99" s="6"/>
      <c r="K99" s="8" t="str">
        <f aca="false">IF($A99="","",IF(I99&lt;=J99,"REPONER",""))</f>
        <v/>
      </c>
      <c r="L99" s="9" t="str">
        <f aca="false">IF($A99="","",I99*D99)</f>
        <v/>
      </c>
    </row>
    <row r="100" customFormat="false" ht="15" hidden="false" customHeight="false" outlineLevel="0" collapsed="false">
      <c r="A100" s="4"/>
      <c r="B100" s="4"/>
      <c r="C100" s="4"/>
      <c r="D100" s="5"/>
      <c r="E100" s="5"/>
      <c r="F100" s="6"/>
      <c r="G100" s="7" t="str">
        <f aca="false">IF($A100="","",SUMIFS(Movimientos!$E$5:$E$504,Movimientos!$B$5:$B$504,$A100,Movimientos!$D$5:$D$504,"Entrada"))</f>
        <v/>
      </c>
      <c r="H100" s="7" t="str">
        <f aca="false">IF($A100="","",SUMIFS(Movimientos!$E$5:$E$504,Movimientos!$B$5:$B$504,$A100,Movimientos!$D$5:$D$504,"Salida"))</f>
        <v/>
      </c>
      <c r="I100" s="7" t="str">
        <f aca="false">IF($A100="","",F100+G100-H100)</f>
        <v/>
      </c>
      <c r="J100" s="6"/>
      <c r="K100" s="8" t="str">
        <f aca="false">IF($A100="","",IF(I100&lt;=J100,"REPONER",""))</f>
        <v/>
      </c>
      <c r="L100" s="9" t="str">
        <f aca="false">IF($A100="","",I100*D100)</f>
        <v/>
      </c>
    </row>
    <row r="101" customFormat="false" ht="15" hidden="false" customHeight="false" outlineLevel="0" collapsed="false">
      <c r="A101" s="4"/>
      <c r="B101" s="4"/>
      <c r="C101" s="4"/>
      <c r="D101" s="5"/>
      <c r="E101" s="5"/>
      <c r="F101" s="6"/>
      <c r="G101" s="7" t="str">
        <f aca="false">IF($A101="","",SUMIFS(Movimientos!$E$5:$E$504,Movimientos!$B$5:$B$504,$A101,Movimientos!$D$5:$D$504,"Entrada"))</f>
        <v/>
      </c>
      <c r="H101" s="7" t="str">
        <f aca="false">IF($A101="","",SUMIFS(Movimientos!$E$5:$E$504,Movimientos!$B$5:$B$504,$A101,Movimientos!$D$5:$D$504,"Salida"))</f>
        <v/>
      </c>
      <c r="I101" s="7" t="str">
        <f aca="false">IF($A101="","",F101+G101-H101)</f>
        <v/>
      </c>
      <c r="J101" s="6"/>
      <c r="K101" s="8" t="str">
        <f aca="false">IF($A101="","",IF(I101&lt;=J101,"REPONER",""))</f>
        <v/>
      </c>
      <c r="L101" s="9" t="str">
        <f aca="false">IF($A101="","",I101*D101)</f>
        <v/>
      </c>
    </row>
    <row r="102" customFormat="false" ht="15" hidden="false" customHeight="false" outlineLevel="0" collapsed="false">
      <c r="A102" s="4"/>
      <c r="B102" s="4"/>
      <c r="C102" s="4"/>
      <c r="D102" s="5"/>
      <c r="E102" s="5"/>
      <c r="F102" s="6"/>
      <c r="G102" s="7" t="str">
        <f aca="false">IF($A102="","",SUMIFS(Movimientos!$E$5:$E$504,Movimientos!$B$5:$B$504,$A102,Movimientos!$D$5:$D$504,"Entrada"))</f>
        <v/>
      </c>
      <c r="H102" s="7" t="str">
        <f aca="false">IF($A102="","",SUMIFS(Movimientos!$E$5:$E$504,Movimientos!$B$5:$B$504,$A102,Movimientos!$D$5:$D$504,"Salida"))</f>
        <v/>
      </c>
      <c r="I102" s="7" t="str">
        <f aca="false">IF($A102="","",F102+G102-H102)</f>
        <v/>
      </c>
      <c r="J102" s="6"/>
      <c r="K102" s="8" t="str">
        <f aca="false">IF($A102="","",IF(I102&lt;=J102,"REPONER",""))</f>
        <v/>
      </c>
      <c r="L102" s="9" t="str">
        <f aca="false">IF($A102="","",I102*D102)</f>
        <v/>
      </c>
    </row>
    <row r="103" customFormat="false" ht="15" hidden="false" customHeight="false" outlineLevel="0" collapsed="false">
      <c r="A103" s="4"/>
      <c r="B103" s="4"/>
      <c r="C103" s="4"/>
      <c r="D103" s="5"/>
      <c r="E103" s="5"/>
      <c r="F103" s="6"/>
      <c r="G103" s="7" t="str">
        <f aca="false">IF($A103="","",SUMIFS(Movimientos!$E$5:$E$504,Movimientos!$B$5:$B$504,$A103,Movimientos!$D$5:$D$504,"Entrada"))</f>
        <v/>
      </c>
      <c r="H103" s="7" t="str">
        <f aca="false">IF($A103="","",SUMIFS(Movimientos!$E$5:$E$504,Movimientos!$B$5:$B$504,$A103,Movimientos!$D$5:$D$504,"Salida"))</f>
        <v/>
      </c>
      <c r="I103" s="7" t="str">
        <f aca="false">IF($A103="","",F103+G103-H103)</f>
        <v/>
      </c>
      <c r="J103" s="6"/>
      <c r="K103" s="8" t="str">
        <f aca="false">IF($A103="","",IF(I103&lt;=J103,"REPONER",""))</f>
        <v/>
      </c>
      <c r="L103" s="9" t="str">
        <f aca="false">IF($A103="","",I103*D103)</f>
        <v/>
      </c>
    </row>
    <row r="104" customFormat="false" ht="15" hidden="false" customHeight="false" outlineLevel="0" collapsed="false">
      <c r="A104" s="4"/>
      <c r="B104" s="4"/>
      <c r="C104" s="4"/>
      <c r="D104" s="5"/>
      <c r="E104" s="5"/>
      <c r="F104" s="6"/>
      <c r="G104" s="7" t="str">
        <f aca="false">IF($A104="","",SUMIFS(Movimientos!$E$5:$E$504,Movimientos!$B$5:$B$504,$A104,Movimientos!$D$5:$D$504,"Entrada"))</f>
        <v/>
      </c>
      <c r="H104" s="7" t="str">
        <f aca="false">IF($A104="","",SUMIFS(Movimientos!$E$5:$E$504,Movimientos!$B$5:$B$504,$A104,Movimientos!$D$5:$D$504,"Salida"))</f>
        <v/>
      </c>
      <c r="I104" s="7" t="str">
        <f aca="false">IF($A104="","",F104+G104-H104)</f>
        <v/>
      </c>
      <c r="J104" s="6"/>
      <c r="K104" s="8" t="str">
        <f aca="false">IF($A104="","",IF(I104&lt;=J104,"REPONER",""))</f>
        <v/>
      </c>
      <c r="L104" s="9" t="str">
        <f aca="false">IF($A104="","",I104*D104)</f>
        <v/>
      </c>
    </row>
    <row r="105" customFormat="false" ht="15" hidden="false" customHeight="false" outlineLevel="0" collapsed="false">
      <c r="B105" s="10" t="s">
        <v>23</v>
      </c>
      <c r="L105" s="11" t="n">
        <f aca="false">SUM(L5:L104)</f>
        <v>218800</v>
      </c>
    </row>
    <row r="107" customFormat="false" ht="15" hidden="false" customHeight="false" outlineLevel="0" collapsed="false">
      <c r="A107" s="10" t="s">
        <v>24</v>
      </c>
    </row>
    <row r="108" customFormat="false" ht="15" hidden="false" customHeight="false" outlineLevel="0" collapsed="false">
      <c r="A108" s="12" t="s">
        <v>25</v>
      </c>
    </row>
    <row r="109" customFormat="false" ht="15" hidden="false" customHeight="false" outlineLevel="0" collapsed="false">
      <c r="A109" s="1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3" t="s">
        <v>29</v>
      </c>
      <c r="B4" s="3" t="s">
        <v>2</v>
      </c>
      <c r="C4" s="3" t="s">
        <v>3</v>
      </c>
      <c r="D4" s="3" t="s">
        <v>30</v>
      </c>
      <c r="E4" s="3" t="s">
        <v>31</v>
      </c>
    </row>
    <row r="5" customFormat="false" ht="15" hidden="false" customHeight="false" outlineLevel="0" collapsed="false">
      <c r="A5" s="13" t="n">
        <v>46204</v>
      </c>
      <c r="B5" s="6" t="s">
        <v>14</v>
      </c>
      <c r="C5" s="14" t="str">
        <f aca="false">IF($B5="","",IFERROR(INDEX(Inventario!$B$5:$B$104,MATCH($B5,Inventario!$A$5:$A$104,0)),"⚠ código no existe"))</f>
        <v>Arroz 500 g</v>
      </c>
      <c r="D5" s="6" t="s">
        <v>32</v>
      </c>
      <c r="E5" s="6" t="n">
        <v>20</v>
      </c>
    </row>
    <row r="6" customFormat="false" ht="15" hidden="false" customHeight="false" outlineLevel="0" collapsed="false">
      <c r="A6" s="13" t="n">
        <v>46206</v>
      </c>
      <c r="B6" s="6" t="s">
        <v>14</v>
      </c>
      <c r="C6" s="14" t="str">
        <f aca="false">IF($B6="","",IFERROR(INDEX(Inventario!$B$5:$B$104,MATCH($B6,Inventario!$A$5:$A$104,0)),"⚠ código no existe"))</f>
        <v>Arroz 500 g</v>
      </c>
      <c r="D6" s="6" t="s">
        <v>33</v>
      </c>
      <c r="E6" s="6" t="n">
        <v>5</v>
      </c>
    </row>
    <row r="7" customFormat="false" ht="15" hidden="false" customHeight="false" outlineLevel="0" collapsed="false">
      <c r="A7" s="13" t="n">
        <v>46206</v>
      </c>
      <c r="B7" s="6" t="s">
        <v>17</v>
      </c>
      <c r="C7" s="14" t="str">
        <f aca="false">IF($B7="","",IFERROR(INDEX(Inventario!$B$5:$B$104,MATCH($B7,Inventario!$A$5:$A$104,0)),"⚠ código no existe"))</f>
        <v>Aceite 1 L</v>
      </c>
      <c r="D7" s="6" t="s">
        <v>33</v>
      </c>
      <c r="E7" s="6" t="n">
        <v>2</v>
      </c>
    </row>
    <row r="8" customFormat="false" ht="15" hidden="false" customHeight="false" outlineLevel="0" collapsed="false">
      <c r="A8" s="13"/>
      <c r="B8" s="6"/>
      <c r="C8" s="14" t="str">
        <f aca="false">IF($B8="","",IFERROR(INDEX(Inventario!$B$5:$B$104,MATCH($B8,Inventario!$A$5:$A$104,0)),"⚠ código no existe"))</f>
        <v/>
      </c>
      <c r="D8" s="6"/>
      <c r="E8" s="6"/>
      <c r="G8" s="10" t="s">
        <v>24</v>
      </c>
    </row>
    <row r="9" customFormat="false" ht="15" hidden="false" customHeight="false" outlineLevel="0" collapsed="false">
      <c r="A9" s="13"/>
      <c r="B9" s="6"/>
      <c r="C9" s="14" t="str">
        <f aca="false">IF($B9="","",IFERROR(INDEX(Inventario!$B$5:$B$104,MATCH($B9,Inventario!$A$5:$A$104,0)),"⚠ código no existe"))</f>
        <v/>
      </c>
      <c r="D9" s="6"/>
      <c r="E9" s="6"/>
      <c r="G9" s="12" t="s">
        <v>25</v>
      </c>
    </row>
    <row r="10" customFormat="false" ht="15" hidden="false" customHeight="false" outlineLevel="0" collapsed="false">
      <c r="A10" s="13"/>
      <c r="B10" s="6"/>
      <c r="C10" s="14" t="str">
        <f aca="false">IF($B10="","",IFERROR(INDEX(Inventario!$B$5:$B$104,MATCH($B10,Inventario!$A$5:$A$104,0)),"⚠ código no existe"))</f>
        <v/>
      </c>
      <c r="D10" s="6"/>
      <c r="E10" s="6"/>
      <c r="G10" s="12" t="s">
        <v>26</v>
      </c>
    </row>
    <row r="11" customFormat="false" ht="15" hidden="false" customHeight="false" outlineLevel="0" collapsed="false">
      <c r="A11" s="13"/>
      <c r="B11" s="6"/>
      <c r="C11" s="14" t="str">
        <f aca="false">IF($B11="","",IFERROR(INDEX(Inventario!$B$5:$B$104,MATCH($B11,Inventario!$A$5:$A$104,0)),"⚠ código no existe"))</f>
        <v/>
      </c>
      <c r="D11" s="6"/>
      <c r="E11" s="6"/>
    </row>
    <row r="12" customFormat="false" ht="15" hidden="false" customHeight="false" outlineLevel="0" collapsed="false">
      <c r="A12" s="13"/>
      <c r="B12" s="6"/>
      <c r="C12" s="14" t="str">
        <f aca="false">IF($B12="","",IFERROR(INDEX(Inventario!$B$5:$B$104,MATCH($B12,Inventario!$A$5:$A$104,0)),"⚠ código no existe"))</f>
        <v/>
      </c>
      <c r="D12" s="6"/>
      <c r="E12" s="6"/>
    </row>
    <row r="13" customFormat="false" ht="15" hidden="false" customHeight="false" outlineLevel="0" collapsed="false">
      <c r="A13" s="13"/>
      <c r="B13" s="6"/>
      <c r="C13" s="14" t="str">
        <f aca="false">IF($B13="","",IFERROR(INDEX(Inventario!$B$5:$B$104,MATCH($B13,Inventario!$A$5:$A$104,0)),"⚠ código no existe"))</f>
        <v/>
      </c>
      <c r="D13" s="6"/>
      <c r="E13" s="6"/>
    </row>
    <row r="14" customFormat="false" ht="15" hidden="false" customHeight="false" outlineLevel="0" collapsed="false">
      <c r="A14" s="13"/>
      <c r="B14" s="6"/>
      <c r="C14" s="14" t="str">
        <f aca="false">IF($B14="","",IFERROR(INDEX(Inventario!$B$5:$B$104,MATCH($B14,Inventario!$A$5:$A$104,0)),"⚠ código no existe"))</f>
        <v/>
      </c>
      <c r="D14" s="6"/>
      <c r="E14" s="6"/>
    </row>
    <row r="15" customFormat="false" ht="15" hidden="false" customHeight="false" outlineLevel="0" collapsed="false">
      <c r="A15" s="13"/>
      <c r="B15" s="6"/>
      <c r="C15" s="14" t="str">
        <f aca="false">IF($B15="","",IFERROR(INDEX(Inventario!$B$5:$B$104,MATCH($B15,Inventario!$A$5:$A$104,0)),"⚠ código no existe"))</f>
        <v/>
      </c>
      <c r="D15" s="6"/>
      <c r="E15" s="6"/>
    </row>
    <row r="16" customFormat="false" ht="15" hidden="false" customHeight="false" outlineLevel="0" collapsed="false">
      <c r="A16" s="13"/>
      <c r="B16" s="6"/>
      <c r="C16" s="14" t="str">
        <f aca="false">IF($B16="","",IFERROR(INDEX(Inventario!$B$5:$B$104,MATCH($B16,Inventario!$A$5:$A$104,0)),"⚠ código no existe"))</f>
        <v/>
      </c>
      <c r="D16" s="6"/>
      <c r="E16" s="6"/>
    </row>
    <row r="17" customFormat="false" ht="15" hidden="false" customHeight="false" outlineLevel="0" collapsed="false">
      <c r="A17" s="13"/>
      <c r="B17" s="6"/>
      <c r="C17" s="14" t="str">
        <f aca="false">IF($B17="","",IFERROR(INDEX(Inventario!$B$5:$B$104,MATCH($B17,Inventario!$A$5:$A$104,0)),"⚠ código no existe"))</f>
        <v/>
      </c>
      <c r="D17" s="6"/>
      <c r="E17" s="6"/>
    </row>
    <row r="18" customFormat="false" ht="15" hidden="false" customHeight="false" outlineLevel="0" collapsed="false">
      <c r="A18" s="13"/>
      <c r="B18" s="6"/>
      <c r="C18" s="14" t="str">
        <f aca="false">IF($B18="","",IFERROR(INDEX(Inventario!$B$5:$B$104,MATCH($B18,Inventario!$A$5:$A$104,0)),"⚠ código no existe"))</f>
        <v/>
      </c>
      <c r="D18" s="6"/>
      <c r="E18" s="6"/>
    </row>
    <row r="19" customFormat="false" ht="15" hidden="false" customHeight="false" outlineLevel="0" collapsed="false">
      <c r="A19" s="13"/>
      <c r="B19" s="6"/>
      <c r="C19" s="14" t="str">
        <f aca="false">IF($B19="","",IFERROR(INDEX(Inventario!$B$5:$B$104,MATCH($B19,Inventario!$A$5:$A$104,0)),"⚠ código no existe"))</f>
        <v/>
      </c>
      <c r="D19" s="6"/>
      <c r="E19" s="6"/>
    </row>
    <row r="20" customFormat="false" ht="15" hidden="false" customHeight="false" outlineLevel="0" collapsed="false">
      <c r="A20" s="13"/>
      <c r="B20" s="6"/>
      <c r="C20" s="14" t="str">
        <f aca="false">IF($B20="","",IFERROR(INDEX(Inventario!$B$5:$B$104,MATCH($B20,Inventario!$A$5:$A$104,0)),"⚠ código no existe"))</f>
        <v/>
      </c>
      <c r="D20" s="6"/>
      <c r="E20" s="6"/>
    </row>
    <row r="21" customFormat="false" ht="15" hidden="false" customHeight="false" outlineLevel="0" collapsed="false">
      <c r="A21" s="13"/>
      <c r="B21" s="6"/>
      <c r="C21" s="14" t="str">
        <f aca="false">IF($B21="","",IFERROR(INDEX(Inventario!$B$5:$B$104,MATCH($B21,Inventario!$A$5:$A$104,0)),"⚠ código no existe"))</f>
        <v/>
      </c>
      <c r="D21" s="6"/>
      <c r="E21" s="6"/>
    </row>
    <row r="22" customFormat="false" ht="15" hidden="false" customHeight="false" outlineLevel="0" collapsed="false">
      <c r="A22" s="13"/>
      <c r="B22" s="6"/>
      <c r="C22" s="14" t="str">
        <f aca="false">IF($B22="","",IFERROR(INDEX(Inventario!$B$5:$B$104,MATCH($B22,Inventario!$A$5:$A$104,0)),"⚠ código no existe"))</f>
        <v/>
      </c>
      <c r="D22" s="6"/>
      <c r="E22" s="6"/>
    </row>
    <row r="23" customFormat="false" ht="15" hidden="false" customHeight="false" outlineLevel="0" collapsed="false">
      <c r="A23" s="13"/>
      <c r="B23" s="6"/>
      <c r="C23" s="14" t="str">
        <f aca="false">IF($B23="","",IFERROR(INDEX(Inventario!$B$5:$B$104,MATCH($B23,Inventario!$A$5:$A$104,0)),"⚠ código no existe"))</f>
        <v/>
      </c>
      <c r="D23" s="6"/>
      <c r="E23" s="6"/>
    </row>
    <row r="24" customFormat="false" ht="15" hidden="false" customHeight="false" outlineLevel="0" collapsed="false">
      <c r="A24" s="13"/>
      <c r="B24" s="6"/>
      <c r="C24" s="14" t="str">
        <f aca="false">IF($B24="","",IFERROR(INDEX(Inventario!$B$5:$B$104,MATCH($B24,Inventario!$A$5:$A$104,0)),"⚠ código no existe"))</f>
        <v/>
      </c>
      <c r="D24" s="6"/>
      <c r="E24" s="6"/>
    </row>
    <row r="25" customFormat="false" ht="15" hidden="false" customHeight="false" outlineLevel="0" collapsed="false">
      <c r="A25" s="13"/>
      <c r="B25" s="6"/>
      <c r="C25" s="14" t="str">
        <f aca="false">IF($B25="","",IFERROR(INDEX(Inventario!$B$5:$B$104,MATCH($B25,Inventario!$A$5:$A$104,0)),"⚠ código no existe"))</f>
        <v/>
      </c>
      <c r="D25" s="6"/>
      <c r="E25" s="6"/>
    </row>
    <row r="26" customFormat="false" ht="15" hidden="false" customHeight="false" outlineLevel="0" collapsed="false">
      <c r="A26" s="13"/>
      <c r="B26" s="6"/>
      <c r="C26" s="14" t="str">
        <f aca="false">IF($B26="","",IFERROR(INDEX(Inventario!$B$5:$B$104,MATCH($B26,Inventario!$A$5:$A$104,0)),"⚠ código no existe"))</f>
        <v/>
      </c>
      <c r="D26" s="6"/>
      <c r="E26" s="6"/>
    </row>
    <row r="27" customFormat="false" ht="15" hidden="false" customHeight="false" outlineLevel="0" collapsed="false">
      <c r="A27" s="13"/>
      <c r="B27" s="6"/>
      <c r="C27" s="14" t="str">
        <f aca="false">IF($B27="","",IFERROR(INDEX(Inventario!$B$5:$B$104,MATCH($B27,Inventario!$A$5:$A$104,0)),"⚠ código no existe"))</f>
        <v/>
      </c>
      <c r="D27" s="6"/>
      <c r="E27" s="6"/>
    </row>
    <row r="28" customFormat="false" ht="15" hidden="false" customHeight="false" outlineLevel="0" collapsed="false">
      <c r="A28" s="13"/>
      <c r="B28" s="6"/>
      <c r="C28" s="14" t="str">
        <f aca="false">IF($B28="","",IFERROR(INDEX(Inventario!$B$5:$B$104,MATCH($B28,Inventario!$A$5:$A$104,0)),"⚠ código no existe"))</f>
        <v/>
      </c>
      <c r="D28" s="6"/>
      <c r="E28" s="6"/>
    </row>
    <row r="29" customFormat="false" ht="15" hidden="false" customHeight="false" outlineLevel="0" collapsed="false">
      <c r="A29" s="13"/>
      <c r="B29" s="6"/>
      <c r="C29" s="14" t="str">
        <f aca="false">IF($B29="","",IFERROR(INDEX(Inventario!$B$5:$B$104,MATCH($B29,Inventario!$A$5:$A$104,0)),"⚠ código no existe"))</f>
        <v/>
      </c>
      <c r="D29" s="6"/>
      <c r="E29" s="6"/>
    </row>
    <row r="30" customFormat="false" ht="15" hidden="false" customHeight="false" outlineLevel="0" collapsed="false">
      <c r="A30" s="13"/>
      <c r="B30" s="6"/>
      <c r="C30" s="14" t="str">
        <f aca="false">IF($B30="","",IFERROR(INDEX(Inventario!$B$5:$B$104,MATCH($B30,Inventario!$A$5:$A$104,0)),"⚠ código no existe"))</f>
        <v/>
      </c>
      <c r="D30" s="6"/>
      <c r="E30" s="6"/>
    </row>
    <row r="31" customFormat="false" ht="15" hidden="false" customHeight="false" outlineLevel="0" collapsed="false">
      <c r="A31" s="13"/>
      <c r="B31" s="6"/>
      <c r="C31" s="14" t="str">
        <f aca="false">IF($B31="","",IFERROR(INDEX(Inventario!$B$5:$B$104,MATCH($B31,Inventario!$A$5:$A$104,0)),"⚠ código no existe"))</f>
        <v/>
      </c>
      <c r="D31" s="6"/>
      <c r="E31" s="6"/>
    </row>
    <row r="32" customFormat="false" ht="15" hidden="false" customHeight="false" outlineLevel="0" collapsed="false">
      <c r="A32" s="13"/>
      <c r="B32" s="6"/>
      <c r="C32" s="14" t="str">
        <f aca="false">IF($B32="","",IFERROR(INDEX(Inventario!$B$5:$B$104,MATCH($B32,Inventario!$A$5:$A$104,0)),"⚠ código no existe"))</f>
        <v/>
      </c>
      <c r="D32" s="6"/>
      <c r="E32" s="6"/>
    </row>
    <row r="33" customFormat="false" ht="15" hidden="false" customHeight="false" outlineLevel="0" collapsed="false">
      <c r="A33" s="13"/>
      <c r="B33" s="6"/>
      <c r="C33" s="14" t="str">
        <f aca="false">IF($B33="","",IFERROR(INDEX(Inventario!$B$5:$B$104,MATCH($B33,Inventario!$A$5:$A$104,0)),"⚠ código no existe"))</f>
        <v/>
      </c>
      <c r="D33" s="6"/>
      <c r="E33" s="6"/>
    </row>
    <row r="34" customFormat="false" ht="15" hidden="false" customHeight="false" outlineLevel="0" collapsed="false">
      <c r="A34" s="13"/>
      <c r="B34" s="6"/>
      <c r="C34" s="14" t="str">
        <f aca="false">IF($B34="","",IFERROR(INDEX(Inventario!$B$5:$B$104,MATCH($B34,Inventario!$A$5:$A$104,0)),"⚠ código no existe"))</f>
        <v/>
      </c>
      <c r="D34" s="6"/>
      <c r="E34" s="6"/>
    </row>
    <row r="35" customFormat="false" ht="15" hidden="false" customHeight="false" outlineLevel="0" collapsed="false">
      <c r="A35" s="13"/>
      <c r="B35" s="6"/>
      <c r="C35" s="14" t="str">
        <f aca="false">IF($B35="","",IFERROR(INDEX(Inventario!$B$5:$B$104,MATCH($B35,Inventario!$A$5:$A$104,0)),"⚠ código no existe"))</f>
        <v/>
      </c>
      <c r="D35" s="6"/>
      <c r="E35" s="6"/>
    </row>
    <row r="36" customFormat="false" ht="15" hidden="false" customHeight="false" outlineLevel="0" collapsed="false">
      <c r="A36" s="13"/>
      <c r="B36" s="6"/>
      <c r="C36" s="14" t="str">
        <f aca="false">IF($B36="","",IFERROR(INDEX(Inventario!$B$5:$B$104,MATCH($B36,Inventario!$A$5:$A$104,0)),"⚠ código no existe"))</f>
        <v/>
      </c>
      <c r="D36" s="6"/>
      <c r="E36" s="6"/>
    </row>
    <row r="37" customFormat="false" ht="15" hidden="false" customHeight="false" outlineLevel="0" collapsed="false">
      <c r="A37" s="13"/>
      <c r="B37" s="6"/>
      <c r="C37" s="14" t="str">
        <f aca="false">IF($B37="","",IFERROR(INDEX(Inventario!$B$5:$B$104,MATCH($B37,Inventario!$A$5:$A$104,0)),"⚠ código no existe"))</f>
        <v/>
      </c>
      <c r="D37" s="6"/>
      <c r="E37" s="6"/>
    </row>
    <row r="38" customFormat="false" ht="15" hidden="false" customHeight="false" outlineLevel="0" collapsed="false">
      <c r="A38" s="13"/>
      <c r="B38" s="6"/>
      <c r="C38" s="14" t="str">
        <f aca="false">IF($B38="","",IFERROR(INDEX(Inventario!$B$5:$B$104,MATCH($B38,Inventario!$A$5:$A$104,0)),"⚠ código no existe"))</f>
        <v/>
      </c>
      <c r="D38" s="6"/>
      <c r="E38" s="6"/>
    </row>
    <row r="39" customFormat="false" ht="15" hidden="false" customHeight="false" outlineLevel="0" collapsed="false">
      <c r="A39" s="13"/>
      <c r="B39" s="6"/>
      <c r="C39" s="14" t="str">
        <f aca="false">IF($B39="","",IFERROR(INDEX(Inventario!$B$5:$B$104,MATCH($B39,Inventario!$A$5:$A$104,0)),"⚠ código no existe"))</f>
        <v/>
      </c>
      <c r="D39" s="6"/>
      <c r="E39" s="6"/>
    </row>
    <row r="40" customFormat="false" ht="15" hidden="false" customHeight="false" outlineLevel="0" collapsed="false">
      <c r="A40" s="13"/>
      <c r="B40" s="6"/>
      <c r="C40" s="14" t="str">
        <f aca="false">IF($B40="","",IFERROR(INDEX(Inventario!$B$5:$B$104,MATCH($B40,Inventario!$A$5:$A$104,0)),"⚠ código no existe"))</f>
        <v/>
      </c>
      <c r="D40" s="6"/>
      <c r="E40" s="6"/>
    </row>
    <row r="41" customFormat="false" ht="15" hidden="false" customHeight="false" outlineLevel="0" collapsed="false">
      <c r="A41" s="13"/>
      <c r="B41" s="6"/>
      <c r="C41" s="14" t="str">
        <f aca="false">IF($B41="","",IFERROR(INDEX(Inventario!$B$5:$B$104,MATCH($B41,Inventario!$A$5:$A$104,0)),"⚠ código no existe"))</f>
        <v/>
      </c>
      <c r="D41" s="6"/>
      <c r="E41" s="6"/>
    </row>
    <row r="42" customFormat="false" ht="15" hidden="false" customHeight="false" outlineLevel="0" collapsed="false">
      <c r="A42" s="13"/>
      <c r="B42" s="6"/>
      <c r="C42" s="14" t="str">
        <f aca="false">IF($B42="","",IFERROR(INDEX(Inventario!$B$5:$B$104,MATCH($B42,Inventario!$A$5:$A$104,0)),"⚠ código no existe"))</f>
        <v/>
      </c>
      <c r="D42" s="6"/>
      <c r="E42" s="6"/>
    </row>
    <row r="43" customFormat="false" ht="15" hidden="false" customHeight="false" outlineLevel="0" collapsed="false">
      <c r="A43" s="13"/>
      <c r="B43" s="6"/>
      <c r="C43" s="14" t="str">
        <f aca="false">IF($B43="","",IFERROR(INDEX(Inventario!$B$5:$B$104,MATCH($B43,Inventario!$A$5:$A$104,0)),"⚠ código no existe"))</f>
        <v/>
      </c>
      <c r="D43" s="6"/>
      <c r="E43" s="6"/>
    </row>
    <row r="44" customFormat="false" ht="15" hidden="false" customHeight="false" outlineLevel="0" collapsed="false">
      <c r="A44" s="13"/>
      <c r="B44" s="6"/>
      <c r="C44" s="14" t="str">
        <f aca="false">IF($B44="","",IFERROR(INDEX(Inventario!$B$5:$B$104,MATCH($B44,Inventario!$A$5:$A$104,0)),"⚠ código no existe"))</f>
        <v/>
      </c>
      <c r="D44" s="6"/>
      <c r="E44" s="6"/>
    </row>
    <row r="45" customFormat="false" ht="15" hidden="false" customHeight="false" outlineLevel="0" collapsed="false">
      <c r="A45" s="13"/>
      <c r="B45" s="6"/>
      <c r="C45" s="14" t="str">
        <f aca="false">IF($B45="","",IFERROR(INDEX(Inventario!$B$5:$B$104,MATCH($B45,Inventario!$A$5:$A$104,0)),"⚠ código no existe"))</f>
        <v/>
      </c>
      <c r="D45" s="6"/>
      <c r="E45" s="6"/>
    </row>
    <row r="46" customFormat="false" ht="15" hidden="false" customHeight="false" outlineLevel="0" collapsed="false">
      <c r="A46" s="13"/>
      <c r="B46" s="6"/>
      <c r="C46" s="14" t="str">
        <f aca="false">IF($B46="","",IFERROR(INDEX(Inventario!$B$5:$B$104,MATCH($B46,Inventario!$A$5:$A$104,0)),"⚠ código no existe"))</f>
        <v/>
      </c>
      <c r="D46" s="6"/>
      <c r="E46" s="6"/>
    </row>
    <row r="47" customFormat="false" ht="15" hidden="false" customHeight="false" outlineLevel="0" collapsed="false">
      <c r="A47" s="13"/>
      <c r="B47" s="6"/>
      <c r="C47" s="14" t="str">
        <f aca="false">IF($B47="","",IFERROR(INDEX(Inventario!$B$5:$B$104,MATCH($B47,Inventario!$A$5:$A$104,0)),"⚠ código no existe"))</f>
        <v/>
      </c>
      <c r="D47" s="6"/>
      <c r="E47" s="6"/>
    </row>
    <row r="48" customFormat="false" ht="15" hidden="false" customHeight="false" outlineLevel="0" collapsed="false">
      <c r="A48" s="13"/>
      <c r="B48" s="6"/>
      <c r="C48" s="14" t="str">
        <f aca="false">IF($B48="","",IFERROR(INDEX(Inventario!$B$5:$B$104,MATCH($B48,Inventario!$A$5:$A$104,0)),"⚠ código no existe"))</f>
        <v/>
      </c>
      <c r="D48" s="6"/>
      <c r="E48" s="6"/>
    </row>
    <row r="49" customFormat="false" ht="15" hidden="false" customHeight="false" outlineLevel="0" collapsed="false">
      <c r="A49" s="13"/>
      <c r="B49" s="6"/>
      <c r="C49" s="14" t="str">
        <f aca="false">IF($B49="","",IFERROR(INDEX(Inventario!$B$5:$B$104,MATCH($B49,Inventario!$A$5:$A$104,0)),"⚠ código no existe"))</f>
        <v/>
      </c>
      <c r="D49" s="6"/>
      <c r="E49" s="6"/>
    </row>
    <row r="50" customFormat="false" ht="15" hidden="false" customHeight="false" outlineLevel="0" collapsed="false">
      <c r="A50" s="13"/>
      <c r="B50" s="6"/>
      <c r="C50" s="14" t="str">
        <f aca="false">IF($B50="","",IFERROR(INDEX(Inventario!$B$5:$B$104,MATCH($B50,Inventario!$A$5:$A$104,0)),"⚠ código no existe"))</f>
        <v/>
      </c>
      <c r="D50" s="6"/>
      <c r="E50" s="6"/>
    </row>
    <row r="51" customFormat="false" ht="15" hidden="false" customHeight="false" outlineLevel="0" collapsed="false">
      <c r="A51" s="13"/>
      <c r="B51" s="6"/>
      <c r="C51" s="14" t="str">
        <f aca="false">IF($B51="","",IFERROR(INDEX(Inventario!$B$5:$B$104,MATCH($B51,Inventario!$A$5:$A$104,0)),"⚠ código no existe"))</f>
        <v/>
      </c>
      <c r="D51" s="6"/>
      <c r="E51" s="6"/>
    </row>
    <row r="52" customFormat="false" ht="15" hidden="false" customHeight="false" outlineLevel="0" collapsed="false">
      <c r="A52" s="13"/>
      <c r="B52" s="6"/>
      <c r="C52" s="14" t="str">
        <f aca="false">IF($B52="","",IFERROR(INDEX(Inventario!$B$5:$B$104,MATCH($B52,Inventario!$A$5:$A$104,0)),"⚠ código no existe"))</f>
        <v/>
      </c>
      <c r="D52" s="6"/>
      <c r="E52" s="6"/>
    </row>
    <row r="53" customFormat="false" ht="15" hidden="false" customHeight="false" outlineLevel="0" collapsed="false">
      <c r="A53" s="13"/>
      <c r="B53" s="6"/>
      <c r="C53" s="14" t="str">
        <f aca="false">IF($B53="","",IFERROR(INDEX(Inventario!$B$5:$B$104,MATCH($B53,Inventario!$A$5:$A$104,0)),"⚠ código no existe"))</f>
        <v/>
      </c>
      <c r="D53" s="6"/>
      <c r="E53" s="6"/>
    </row>
    <row r="54" customFormat="false" ht="15" hidden="false" customHeight="false" outlineLevel="0" collapsed="false">
      <c r="A54" s="13"/>
      <c r="B54" s="6"/>
      <c r="C54" s="14" t="str">
        <f aca="false">IF($B54="","",IFERROR(INDEX(Inventario!$B$5:$B$104,MATCH($B54,Inventario!$A$5:$A$104,0)),"⚠ código no existe"))</f>
        <v/>
      </c>
      <c r="D54" s="6"/>
      <c r="E54" s="6"/>
    </row>
    <row r="55" customFormat="false" ht="15" hidden="false" customHeight="false" outlineLevel="0" collapsed="false">
      <c r="A55" s="13"/>
      <c r="B55" s="6"/>
      <c r="C55" s="14" t="str">
        <f aca="false">IF($B55="","",IFERROR(INDEX(Inventario!$B$5:$B$104,MATCH($B55,Inventario!$A$5:$A$104,0)),"⚠ código no existe"))</f>
        <v/>
      </c>
      <c r="D55" s="6"/>
      <c r="E55" s="6"/>
    </row>
    <row r="56" customFormat="false" ht="15" hidden="false" customHeight="false" outlineLevel="0" collapsed="false">
      <c r="A56" s="13"/>
      <c r="B56" s="6"/>
      <c r="C56" s="14" t="str">
        <f aca="false">IF($B56="","",IFERROR(INDEX(Inventario!$B$5:$B$104,MATCH($B56,Inventario!$A$5:$A$104,0)),"⚠ código no existe"))</f>
        <v/>
      </c>
      <c r="D56" s="6"/>
      <c r="E56" s="6"/>
    </row>
    <row r="57" customFormat="false" ht="15" hidden="false" customHeight="false" outlineLevel="0" collapsed="false">
      <c r="A57" s="13"/>
      <c r="B57" s="6"/>
      <c r="C57" s="14" t="str">
        <f aca="false">IF($B57="","",IFERROR(INDEX(Inventario!$B$5:$B$104,MATCH($B57,Inventario!$A$5:$A$104,0)),"⚠ código no existe"))</f>
        <v/>
      </c>
      <c r="D57" s="6"/>
      <c r="E57" s="6"/>
    </row>
    <row r="58" customFormat="false" ht="15" hidden="false" customHeight="false" outlineLevel="0" collapsed="false">
      <c r="A58" s="13"/>
      <c r="B58" s="6"/>
      <c r="C58" s="14" t="str">
        <f aca="false">IF($B58="","",IFERROR(INDEX(Inventario!$B$5:$B$104,MATCH($B58,Inventario!$A$5:$A$104,0)),"⚠ código no existe"))</f>
        <v/>
      </c>
      <c r="D58" s="6"/>
      <c r="E58" s="6"/>
    </row>
    <row r="59" customFormat="false" ht="15" hidden="false" customHeight="false" outlineLevel="0" collapsed="false">
      <c r="A59" s="13"/>
      <c r="B59" s="6"/>
      <c r="C59" s="14" t="str">
        <f aca="false">IF($B59="","",IFERROR(INDEX(Inventario!$B$5:$B$104,MATCH($B59,Inventario!$A$5:$A$104,0)),"⚠ código no existe"))</f>
        <v/>
      </c>
      <c r="D59" s="6"/>
      <c r="E59" s="6"/>
    </row>
    <row r="60" customFormat="false" ht="15" hidden="false" customHeight="false" outlineLevel="0" collapsed="false">
      <c r="A60" s="13"/>
      <c r="B60" s="6"/>
      <c r="C60" s="14" t="str">
        <f aca="false">IF($B60="","",IFERROR(INDEX(Inventario!$B$5:$B$104,MATCH($B60,Inventario!$A$5:$A$104,0)),"⚠ código no existe"))</f>
        <v/>
      </c>
      <c r="D60" s="6"/>
      <c r="E60" s="6"/>
    </row>
    <row r="61" customFormat="false" ht="15" hidden="false" customHeight="false" outlineLevel="0" collapsed="false">
      <c r="A61" s="13"/>
      <c r="B61" s="6"/>
      <c r="C61" s="14" t="str">
        <f aca="false">IF($B61="","",IFERROR(INDEX(Inventario!$B$5:$B$104,MATCH($B61,Inventario!$A$5:$A$104,0)),"⚠ código no existe"))</f>
        <v/>
      </c>
      <c r="D61" s="6"/>
      <c r="E61" s="6"/>
    </row>
    <row r="62" customFormat="false" ht="15" hidden="false" customHeight="false" outlineLevel="0" collapsed="false">
      <c r="A62" s="13"/>
      <c r="B62" s="6"/>
      <c r="C62" s="14" t="str">
        <f aca="false">IF($B62="","",IFERROR(INDEX(Inventario!$B$5:$B$104,MATCH($B62,Inventario!$A$5:$A$104,0)),"⚠ código no existe"))</f>
        <v/>
      </c>
      <c r="D62" s="6"/>
      <c r="E62" s="6"/>
    </row>
    <row r="63" customFormat="false" ht="15" hidden="false" customHeight="false" outlineLevel="0" collapsed="false">
      <c r="A63" s="13"/>
      <c r="B63" s="6"/>
      <c r="C63" s="14" t="str">
        <f aca="false">IF($B63="","",IFERROR(INDEX(Inventario!$B$5:$B$104,MATCH($B63,Inventario!$A$5:$A$104,0)),"⚠ código no existe"))</f>
        <v/>
      </c>
      <c r="D63" s="6"/>
      <c r="E63" s="6"/>
    </row>
    <row r="64" customFormat="false" ht="15" hidden="false" customHeight="false" outlineLevel="0" collapsed="false">
      <c r="A64" s="13"/>
      <c r="B64" s="6"/>
      <c r="C64" s="14" t="str">
        <f aca="false">IF($B64="","",IFERROR(INDEX(Inventario!$B$5:$B$104,MATCH($B64,Inventario!$A$5:$A$104,0)),"⚠ código no existe"))</f>
        <v/>
      </c>
      <c r="D64" s="6"/>
      <c r="E64" s="6"/>
    </row>
    <row r="65" customFormat="false" ht="15" hidden="false" customHeight="false" outlineLevel="0" collapsed="false">
      <c r="A65" s="13"/>
      <c r="B65" s="6"/>
      <c r="C65" s="14" t="str">
        <f aca="false">IF($B65="","",IFERROR(INDEX(Inventario!$B$5:$B$104,MATCH($B65,Inventario!$A$5:$A$104,0)),"⚠ código no existe"))</f>
        <v/>
      </c>
      <c r="D65" s="6"/>
      <c r="E65" s="6"/>
    </row>
    <row r="66" customFormat="false" ht="15" hidden="false" customHeight="false" outlineLevel="0" collapsed="false">
      <c r="A66" s="13"/>
      <c r="B66" s="6"/>
      <c r="C66" s="14" t="str">
        <f aca="false">IF($B66="","",IFERROR(INDEX(Inventario!$B$5:$B$104,MATCH($B66,Inventario!$A$5:$A$104,0)),"⚠ código no existe"))</f>
        <v/>
      </c>
      <c r="D66" s="6"/>
      <c r="E66" s="6"/>
    </row>
    <row r="67" customFormat="false" ht="15" hidden="false" customHeight="false" outlineLevel="0" collapsed="false">
      <c r="A67" s="13"/>
      <c r="B67" s="6"/>
      <c r="C67" s="14" t="str">
        <f aca="false">IF($B67="","",IFERROR(INDEX(Inventario!$B$5:$B$104,MATCH($B67,Inventario!$A$5:$A$104,0)),"⚠ código no existe"))</f>
        <v/>
      </c>
      <c r="D67" s="6"/>
      <c r="E67" s="6"/>
    </row>
    <row r="68" customFormat="false" ht="15" hidden="false" customHeight="false" outlineLevel="0" collapsed="false">
      <c r="A68" s="13"/>
      <c r="B68" s="6"/>
      <c r="C68" s="14" t="str">
        <f aca="false">IF($B68="","",IFERROR(INDEX(Inventario!$B$5:$B$104,MATCH($B68,Inventario!$A$5:$A$104,0)),"⚠ código no existe"))</f>
        <v/>
      </c>
      <c r="D68" s="6"/>
      <c r="E68" s="6"/>
    </row>
    <row r="69" customFormat="false" ht="15" hidden="false" customHeight="false" outlineLevel="0" collapsed="false">
      <c r="A69" s="13"/>
      <c r="B69" s="6"/>
      <c r="C69" s="14" t="str">
        <f aca="false">IF($B69="","",IFERROR(INDEX(Inventario!$B$5:$B$104,MATCH($B69,Inventario!$A$5:$A$104,0)),"⚠ código no existe"))</f>
        <v/>
      </c>
      <c r="D69" s="6"/>
      <c r="E69" s="6"/>
    </row>
    <row r="70" customFormat="false" ht="15" hidden="false" customHeight="false" outlineLevel="0" collapsed="false">
      <c r="A70" s="13"/>
      <c r="B70" s="6"/>
      <c r="C70" s="14" t="str">
        <f aca="false">IF($B70="","",IFERROR(INDEX(Inventario!$B$5:$B$104,MATCH($B70,Inventario!$A$5:$A$104,0)),"⚠ código no existe"))</f>
        <v/>
      </c>
      <c r="D70" s="6"/>
      <c r="E70" s="6"/>
    </row>
    <row r="71" customFormat="false" ht="15" hidden="false" customHeight="false" outlineLevel="0" collapsed="false">
      <c r="A71" s="13"/>
      <c r="B71" s="6"/>
      <c r="C71" s="14" t="str">
        <f aca="false">IF($B71="","",IFERROR(INDEX(Inventario!$B$5:$B$104,MATCH($B71,Inventario!$A$5:$A$104,0)),"⚠ código no existe"))</f>
        <v/>
      </c>
      <c r="D71" s="6"/>
      <c r="E71" s="6"/>
    </row>
    <row r="72" customFormat="false" ht="15" hidden="false" customHeight="false" outlineLevel="0" collapsed="false">
      <c r="A72" s="13"/>
      <c r="B72" s="6"/>
      <c r="C72" s="14" t="str">
        <f aca="false">IF($B72="","",IFERROR(INDEX(Inventario!$B$5:$B$104,MATCH($B72,Inventario!$A$5:$A$104,0)),"⚠ código no existe"))</f>
        <v/>
      </c>
      <c r="D72" s="6"/>
      <c r="E72" s="6"/>
    </row>
    <row r="73" customFormat="false" ht="15" hidden="false" customHeight="false" outlineLevel="0" collapsed="false">
      <c r="A73" s="13"/>
      <c r="B73" s="6"/>
      <c r="C73" s="14" t="str">
        <f aca="false">IF($B73="","",IFERROR(INDEX(Inventario!$B$5:$B$104,MATCH($B73,Inventario!$A$5:$A$104,0)),"⚠ código no existe"))</f>
        <v/>
      </c>
      <c r="D73" s="6"/>
      <c r="E73" s="6"/>
    </row>
    <row r="74" customFormat="false" ht="15" hidden="false" customHeight="false" outlineLevel="0" collapsed="false">
      <c r="A74" s="13"/>
      <c r="B74" s="6"/>
      <c r="C74" s="14" t="str">
        <f aca="false">IF($B74="","",IFERROR(INDEX(Inventario!$B$5:$B$104,MATCH($B74,Inventario!$A$5:$A$104,0)),"⚠ código no existe"))</f>
        <v/>
      </c>
      <c r="D74" s="6"/>
      <c r="E74" s="6"/>
    </row>
    <row r="75" customFormat="false" ht="15" hidden="false" customHeight="false" outlineLevel="0" collapsed="false">
      <c r="A75" s="13"/>
      <c r="B75" s="6"/>
      <c r="C75" s="14" t="str">
        <f aca="false">IF($B75="","",IFERROR(INDEX(Inventario!$B$5:$B$104,MATCH($B75,Inventario!$A$5:$A$104,0)),"⚠ código no existe"))</f>
        <v/>
      </c>
      <c r="D75" s="6"/>
      <c r="E75" s="6"/>
    </row>
    <row r="76" customFormat="false" ht="15" hidden="false" customHeight="false" outlineLevel="0" collapsed="false">
      <c r="A76" s="13"/>
      <c r="B76" s="6"/>
      <c r="C76" s="14" t="str">
        <f aca="false">IF($B76="","",IFERROR(INDEX(Inventario!$B$5:$B$104,MATCH($B76,Inventario!$A$5:$A$104,0)),"⚠ código no existe"))</f>
        <v/>
      </c>
      <c r="D76" s="6"/>
      <c r="E76" s="6"/>
    </row>
    <row r="77" customFormat="false" ht="15" hidden="false" customHeight="false" outlineLevel="0" collapsed="false">
      <c r="A77" s="13"/>
      <c r="B77" s="6"/>
      <c r="C77" s="14" t="str">
        <f aca="false">IF($B77="","",IFERROR(INDEX(Inventario!$B$5:$B$104,MATCH($B77,Inventario!$A$5:$A$104,0)),"⚠ código no existe"))</f>
        <v/>
      </c>
      <c r="D77" s="6"/>
      <c r="E77" s="6"/>
    </row>
    <row r="78" customFormat="false" ht="15" hidden="false" customHeight="false" outlineLevel="0" collapsed="false">
      <c r="A78" s="13"/>
      <c r="B78" s="6"/>
      <c r="C78" s="14" t="str">
        <f aca="false">IF($B78="","",IFERROR(INDEX(Inventario!$B$5:$B$104,MATCH($B78,Inventario!$A$5:$A$104,0)),"⚠ código no existe"))</f>
        <v/>
      </c>
      <c r="D78" s="6"/>
      <c r="E78" s="6"/>
    </row>
    <row r="79" customFormat="false" ht="15" hidden="false" customHeight="false" outlineLevel="0" collapsed="false">
      <c r="A79" s="13"/>
      <c r="B79" s="6"/>
      <c r="C79" s="14" t="str">
        <f aca="false">IF($B79="","",IFERROR(INDEX(Inventario!$B$5:$B$104,MATCH($B79,Inventario!$A$5:$A$104,0)),"⚠ código no existe"))</f>
        <v/>
      </c>
      <c r="D79" s="6"/>
      <c r="E79" s="6"/>
    </row>
    <row r="80" customFormat="false" ht="15" hidden="false" customHeight="false" outlineLevel="0" collapsed="false">
      <c r="A80" s="13"/>
      <c r="B80" s="6"/>
      <c r="C80" s="14" t="str">
        <f aca="false">IF($B80="","",IFERROR(INDEX(Inventario!$B$5:$B$104,MATCH($B80,Inventario!$A$5:$A$104,0)),"⚠ código no existe"))</f>
        <v/>
      </c>
      <c r="D80" s="6"/>
      <c r="E80" s="6"/>
    </row>
    <row r="81" customFormat="false" ht="15" hidden="false" customHeight="false" outlineLevel="0" collapsed="false">
      <c r="A81" s="13"/>
      <c r="B81" s="6"/>
      <c r="C81" s="14" t="str">
        <f aca="false">IF($B81="","",IFERROR(INDEX(Inventario!$B$5:$B$104,MATCH($B81,Inventario!$A$5:$A$104,0)),"⚠ código no existe"))</f>
        <v/>
      </c>
      <c r="D81" s="6"/>
      <c r="E81" s="6"/>
    </row>
    <row r="82" customFormat="false" ht="15" hidden="false" customHeight="false" outlineLevel="0" collapsed="false">
      <c r="A82" s="13"/>
      <c r="B82" s="6"/>
      <c r="C82" s="14" t="str">
        <f aca="false">IF($B82="","",IFERROR(INDEX(Inventario!$B$5:$B$104,MATCH($B82,Inventario!$A$5:$A$104,0)),"⚠ código no existe"))</f>
        <v/>
      </c>
      <c r="D82" s="6"/>
      <c r="E82" s="6"/>
    </row>
    <row r="83" customFormat="false" ht="15" hidden="false" customHeight="false" outlineLevel="0" collapsed="false">
      <c r="A83" s="13"/>
      <c r="B83" s="6"/>
      <c r="C83" s="14" t="str">
        <f aca="false">IF($B83="","",IFERROR(INDEX(Inventario!$B$5:$B$104,MATCH($B83,Inventario!$A$5:$A$104,0)),"⚠ código no existe"))</f>
        <v/>
      </c>
      <c r="D83" s="6"/>
      <c r="E83" s="6"/>
    </row>
    <row r="84" customFormat="false" ht="15" hidden="false" customHeight="false" outlineLevel="0" collapsed="false">
      <c r="A84" s="13"/>
      <c r="B84" s="6"/>
      <c r="C84" s="14" t="str">
        <f aca="false">IF($B84="","",IFERROR(INDEX(Inventario!$B$5:$B$104,MATCH($B84,Inventario!$A$5:$A$104,0)),"⚠ código no existe"))</f>
        <v/>
      </c>
      <c r="D84" s="6"/>
      <c r="E84" s="6"/>
    </row>
    <row r="85" customFormat="false" ht="15" hidden="false" customHeight="false" outlineLevel="0" collapsed="false">
      <c r="A85" s="13"/>
      <c r="B85" s="6"/>
      <c r="C85" s="14" t="str">
        <f aca="false">IF($B85="","",IFERROR(INDEX(Inventario!$B$5:$B$104,MATCH($B85,Inventario!$A$5:$A$104,0)),"⚠ código no existe"))</f>
        <v/>
      </c>
      <c r="D85" s="6"/>
      <c r="E85" s="6"/>
    </row>
    <row r="86" customFormat="false" ht="15" hidden="false" customHeight="false" outlineLevel="0" collapsed="false">
      <c r="A86" s="13"/>
      <c r="B86" s="6"/>
      <c r="C86" s="14" t="str">
        <f aca="false">IF($B86="","",IFERROR(INDEX(Inventario!$B$5:$B$104,MATCH($B86,Inventario!$A$5:$A$104,0)),"⚠ código no existe"))</f>
        <v/>
      </c>
      <c r="D86" s="6"/>
      <c r="E86" s="6"/>
    </row>
    <row r="87" customFormat="false" ht="15" hidden="false" customHeight="false" outlineLevel="0" collapsed="false">
      <c r="A87" s="13"/>
      <c r="B87" s="6"/>
      <c r="C87" s="14" t="str">
        <f aca="false">IF($B87="","",IFERROR(INDEX(Inventario!$B$5:$B$104,MATCH($B87,Inventario!$A$5:$A$104,0)),"⚠ código no existe"))</f>
        <v/>
      </c>
      <c r="D87" s="6"/>
      <c r="E87" s="6"/>
    </row>
    <row r="88" customFormat="false" ht="15" hidden="false" customHeight="false" outlineLevel="0" collapsed="false">
      <c r="A88" s="13"/>
      <c r="B88" s="6"/>
      <c r="C88" s="14" t="str">
        <f aca="false">IF($B88="","",IFERROR(INDEX(Inventario!$B$5:$B$104,MATCH($B88,Inventario!$A$5:$A$104,0)),"⚠ código no existe"))</f>
        <v/>
      </c>
      <c r="D88" s="6"/>
      <c r="E88" s="6"/>
    </row>
    <row r="89" customFormat="false" ht="15" hidden="false" customHeight="false" outlineLevel="0" collapsed="false">
      <c r="A89" s="13"/>
      <c r="B89" s="6"/>
      <c r="C89" s="14" t="str">
        <f aca="false">IF($B89="","",IFERROR(INDEX(Inventario!$B$5:$B$104,MATCH($B89,Inventario!$A$5:$A$104,0)),"⚠ código no existe"))</f>
        <v/>
      </c>
      <c r="D89" s="6"/>
      <c r="E89" s="6"/>
    </row>
    <row r="90" customFormat="false" ht="15" hidden="false" customHeight="false" outlineLevel="0" collapsed="false">
      <c r="A90" s="13"/>
      <c r="B90" s="6"/>
      <c r="C90" s="14" t="str">
        <f aca="false">IF($B90="","",IFERROR(INDEX(Inventario!$B$5:$B$104,MATCH($B90,Inventario!$A$5:$A$104,0)),"⚠ código no existe"))</f>
        <v/>
      </c>
      <c r="D90" s="6"/>
      <c r="E90" s="6"/>
    </row>
    <row r="91" customFormat="false" ht="15" hidden="false" customHeight="false" outlineLevel="0" collapsed="false">
      <c r="A91" s="13"/>
      <c r="B91" s="6"/>
      <c r="C91" s="14" t="str">
        <f aca="false">IF($B91="","",IFERROR(INDEX(Inventario!$B$5:$B$104,MATCH($B91,Inventario!$A$5:$A$104,0)),"⚠ código no existe"))</f>
        <v/>
      </c>
      <c r="D91" s="6"/>
      <c r="E91" s="6"/>
    </row>
    <row r="92" customFormat="false" ht="15" hidden="false" customHeight="false" outlineLevel="0" collapsed="false">
      <c r="A92" s="13"/>
      <c r="B92" s="6"/>
      <c r="C92" s="14" t="str">
        <f aca="false">IF($B92="","",IFERROR(INDEX(Inventario!$B$5:$B$104,MATCH($B92,Inventario!$A$5:$A$104,0)),"⚠ código no existe"))</f>
        <v/>
      </c>
      <c r="D92" s="6"/>
      <c r="E92" s="6"/>
    </row>
    <row r="93" customFormat="false" ht="15" hidden="false" customHeight="false" outlineLevel="0" collapsed="false">
      <c r="A93" s="13"/>
      <c r="B93" s="6"/>
      <c r="C93" s="14" t="str">
        <f aca="false">IF($B93="","",IFERROR(INDEX(Inventario!$B$5:$B$104,MATCH($B93,Inventario!$A$5:$A$104,0)),"⚠ código no existe"))</f>
        <v/>
      </c>
      <c r="D93" s="6"/>
      <c r="E93" s="6"/>
    </row>
    <row r="94" customFormat="false" ht="15" hidden="false" customHeight="false" outlineLevel="0" collapsed="false">
      <c r="A94" s="13"/>
      <c r="B94" s="6"/>
      <c r="C94" s="14" t="str">
        <f aca="false">IF($B94="","",IFERROR(INDEX(Inventario!$B$5:$B$104,MATCH($B94,Inventario!$A$5:$A$104,0)),"⚠ código no existe"))</f>
        <v/>
      </c>
      <c r="D94" s="6"/>
      <c r="E94" s="6"/>
    </row>
    <row r="95" customFormat="false" ht="15" hidden="false" customHeight="false" outlineLevel="0" collapsed="false">
      <c r="A95" s="13"/>
      <c r="B95" s="6"/>
      <c r="C95" s="14" t="str">
        <f aca="false">IF($B95="","",IFERROR(INDEX(Inventario!$B$5:$B$104,MATCH($B95,Inventario!$A$5:$A$104,0)),"⚠ código no existe"))</f>
        <v/>
      </c>
      <c r="D95" s="6"/>
      <c r="E95" s="6"/>
    </row>
    <row r="96" customFormat="false" ht="15" hidden="false" customHeight="false" outlineLevel="0" collapsed="false">
      <c r="A96" s="13"/>
      <c r="B96" s="6"/>
      <c r="C96" s="14" t="str">
        <f aca="false">IF($B96="","",IFERROR(INDEX(Inventario!$B$5:$B$104,MATCH($B96,Inventario!$A$5:$A$104,0)),"⚠ código no existe"))</f>
        <v/>
      </c>
      <c r="D96" s="6"/>
      <c r="E96" s="6"/>
    </row>
    <row r="97" customFormat="false" ht="15" hidden="false" customHeight="false" outlineLevel="0" collapsed="false">
      <c r="A97" s="13"/>
      <c r="B97" s="6"/>
      <c r="C97" s="14" t="str">
        <f aca="false">IF($B97="","",IFERROR(INDEX(Inventario!$B$5:$B$104,MATCH($B97,Inventario!$A$5:$A$104,0)),"⚠ código no existe"))</f>
        <v/>
      </c>
      <c r="D97" s="6"/>
      <c r="E97" s="6"/>
    </row>
    <row r="98" customFormat="false" ht="15" hidden="false" customHeight="false" outlineLevel="0" collapsed="false">
      <c r="A98" s="13"/>
      <c r="B98" s="6"/>
      <c r="C98" s="14" t="str">
        <f aca="false">IF($B98="","",IFERROR(INDEX(Inventario!$B$5:$B$104,MATCH($B98,Inventario!$A$5:$A$104,0)),"⚠ código no existe"))</f>
        <v/>
      </c>
      <c r="D98" s="6"/>
      <c r="E98" s="6"/>
    </row>
    <row r="99" customFormat="false" ht="15" hidden="false" customHeight="false" outlineLevel="0" collapsed="false">
      <c r="A99" s="13"/>
      <c r="B99" s="6"/>
      <c r="C99" s="14" t="str">
        <f aca="false">IF($B99="","",IFERROR(INDEX(Inventario!$B$5:$B$104,MATCH($B99,Inventario!$A$5:$A$104,0)),"⚠ código no existe"))</f>
        <v/>
      </c>
      <c r="D99" s="6"/>
      <c r="E99" s="6"/>
    </row>
    <row r="100" customFormat="false" ht="15" hidden="false" customHeight="false" outlineLevel="0" collapsed="false">
      <c r="A100" s="13"/>
      <c r="B100" s="6"/>
      <c r="C100" s="14" t="str">
        <f aca="false">IF($B100="","",IFERROR(INDEX(Inventario!$B$5:$B$104,MATCH($B100,Inventario!$A$5:$A$104,0)),"⚠ código no existe"))</f>
        <v/>
      </c>
      <c r="D100" s="6"/>
      <c r="E100" s="6"/>
    </row>
    <row r="101" customFormat="false" ht="15" hidden="false" customHeight="false" outlineLevel="0" collapsed="false">
      <c r="A101" s="13"/>
      <c r="B101" s="6"/>
      <c r="C101" s="14" t="str">
        <f aca="false">IF($B101="","",IFERROR(INDEX(Inventario!$B$5:$B$104,MATCH($B101,Inventario!$A$5:$A$104,0)),"⚠ código no existe"))</f>
        <v/>
      </c>
      <c r="D101" s="6"/>
      <c r="E101" s="6"/>
    </row>
    <row r="102" customFormat="false" ht="15" hidden="false" customHeight="false" outlineLevel="0" collapsed="false">
      <c r="A102" s="13"/>
      <c r="B102" s="6"/>
      <c r="C102" s="14" t="str">
        <f aca="false">IF($B102="","",IFERROR(INDEX(Inventario!$B$5:$B$104,MATCH($B102,Inventario!$A$5:$A$104,0)),"⚠ código no existe"))</f>
        <v/>
      </c>
      <c r="D102" s="6"/>
      <c r="E102" s="6"/>
    </row>
    <row r="103" customFormat="false" ht="15" hidden="false" customHeight="false" outlineLevel="0" collapsed="false">
      <c r="A103" s="13"/>
      <c r="B103" s="6"/>
      <c r="C103" s="14" t="str">
        <f aca="false">IF($B103="","",IFERROR(INDEX(Inventario!$B$5:$B$104,MATCH($B103,Inventario!$A$5:$A$104,0)),"⚠ código no existe"))</f>
        <v/>
      </c>
      <c r="D103" s="6"/>
      <c r="E103" s="6"/>
    </row>
    <row r="104" customFormat="false" ht="15" hidden="false" customHeight="false" outlineLevel="0" collapsed="false">
      <c r="A104" s="13"/>
      <c r="B104" s="6"/>
      <c r="C104" s="14" t="str">
        <f aca="false">IF($B104="","",IFERROR(INDEX(Inventario!$B$5:$B$104,MATCH($B104,Inventario!$A$5:$A$104,0)),"⚠ código no existe"))</f>
        <v/>
      </c>
      <c r="D104" s="6"/>
      <c r="E104" s="6"/>
    </row>
    <row r="105" customFormat="false" ht="15" hidden="false" customHeight="false" outlineLevel="0" collapsed="false">
      <c r="A105" s="13"/>
      <c r="B105" s="6"/>
      <c r="C105" s="14" t="str">
        <f aca="false">IF($B105="","",IFERROR(INDEX(Inventario!$B$5:$B$104,MATCH($B105,Inventario!$A$5:$A$104,0)),"⚠ código no existe"))</f>
        <v/>
      </c>
      <c r="D105" s="6"/>
      <c r="E105" s="6"/>
    </row>
    <row r="106" customFormat="false" ht="15" hidden="false" customHeight="false" outlineLevel="0" collapsed="false">
      <c r="A106" s="13"/>
      <c r="B106" s="6"/>
      <c r="C106" s="14" t="str">
        <f aca="false">IF($B106="","",IFERROR(INDEX(Inventario!$B$5:$B$104,MATCH($B106,Inventario!$A$5:$A$104,0)),"⚠ código no existe"))</f>
        <v/>
      </c>
      <c r="D106" s="6"/>
      <c r="E106" s="6"/>
    </row>
    <row r="107" customFormat="false" ht="15" hidden="false" customHeight="false" outlineLevel="0" collapsed="false">
      <c r="A107" s="13"/>
      <c r="B107" s="6"/>
      <c r="C107" s="14" t="str">
        <f aca="false">IF($B107="","",IFERROR(INDEX(Inventario!$B$5:$B$104,MATCH($B107,Inventario!$A$5:$A$104,0)),"⚠ código no existe"))</f>
        <v/>
      </c>
      <c r="D107" s="6"/>
      <c r="E107" s="6"/>
    </row>
    <row r="108" customFormat="false" ht="15" hidden="false" customHeight="false" outlineLevel="0" collapsed="false">
      <c r="A108" s="13"/>
      <c r="B108" s="6"/>
      <c r="C108" s="14" t="str">
        <f aca="false">IF($B108="","",IFERROR(INDEX(Inventario!$B$5:$B$104,MATCH($B108,Inventario!$A$5:$A$104,0)),"⚠ código no existe"))</f>
        <v/>
      </c>
      <c r="D108" s="6"/>
      <c r="E108" s="6"/>
    </row>
    <row r="109" customFormat="false" ht="15" hidden="false" customHeight="false" outlineLevel="0" collapsed="false">
      <c r="A109" s="13"/>
      <c r="B109" s="6"/>
      <c r="C109" s="14" t="str">
        <f aca="false">IF($B109="","",IFERROR(INDEX(Inventario!$B$5:$B$104,MATCH($B109,Inventario!$A$5:$A$104,0)),"⚠ código no existe"))</f>
        <v/>
      </c>
      <c r="D109" s="6"/>
      <c r="E109" s="6"/>
    </row>
    <row r="110" customFormat="false" ht="15" hidden="false" customHeight="false" outlineLevel="0" collapsed="false">
      <c r="A110" s="13"/>
      <c r="B110" s="6"/>
      <c r="C110" s="14" t="str">
        <f aca="false">IF($B110="","",IFERROR(INDEX(Inventario!$B$5:$B$104,MATCH($B110,Inventario!$A$5:$A$104,0)),"⚠ código no existe"))</f>
        <v/>
      </c>
      <c r="D110" s="6"/>
      <c r="E110" s="6"/>
    </row>
    <row r="111" customFormat="false" ht="15" hidden="false" customHeight="false" outlineLevel="0" collapsed="false">
      <c r="A111" s="13"/>
      <c r="B111" s="6"/>
      <c r="C111" s="14" t="str">
        <f aca="false">IF($B111="","",IFERROR(INDEX(Inventario!$B$5:$B$104,MATCH($B111,Inventario!$A$5:$A$104,0)),"⚠ código no existe"))</f>
        <v/>
      </c>
      <c r="D111" s="6"/>
      <c r="E111" s="6"/>
    </row>
    <row r="112" customFormat="false" ht="15" hidden="false" customHeight="false" outlineLevel="0" collapsed="false">
      <c r="A112" s="13"/>
      <c r="B112" s="6"/>
      <c r="C112" s="14" t="str">
        <f aca="false">IF($B112="","",IFERROR(INDEX(Inventario!$B$5:$B$104,MATCH($B112,Inventario!$A$5:$A$104,0)),"⚠ código no existe"))</f>
        <v/>
      </c>
      <c r="D112" s="6"/>
      <c r="E112" s="6"/>
    </row>
    <row r="113" customFormat="false" ht="15" hidden="false" customHeight="false" outlineLevel="0" collapsed="false">
      <c r="A113" s="13"/>
      <c r="B113" s="6"/>
      <c r="C113" s="14" t="str">
        <f aca="false">IF($B113="","",IFERROR(INDEX(Inventario!$B$5:$B$104,MATCH($B113,Inventario!$A$5:$A$104,0)),"⚠ código no existe"))</f>
        <v/>
      </c>
      <c r="D113" s="6"/>
      <c r="E113" s="6"/>
    </row>
    <row r="114" customFormat="false" ht="15" hidden="false" customHeight="false" outlineLevel="0" collapsed="false">
      <c r="A114" s="13"/>
      <c r="B114" s="6"/>
      <c r="C114" s="14" t="str">
        <f aca="false">IF($B114="","",IFERROR(INDEX(Inventario!$B$5:$B$104,MATCH($B114,Inventario!$A$5:$A$104,0)),"⚠ código no existe"))</f>
        <v/>
      </c>
      <c r="D114" s="6"/>
      <c r="E114" s="6"/>
    </row>
    <row r="115" customFormat="false" ht="15" hidden="false" customHeight="false" outlineLevel="0" collapsed="false">
      <c r="A115" s="13"/>
      <c r="B115" s="6"/>
      <c r="C115" s="14" t="str">
        <f aca="false">IF($B115="","",IFERROR(INDEX(Inventario!$B$5:$B$104,MATCH($B115,Inventario!$A$5:$A$104,0)),"⚠ código no existe"))</f>
        <v/>
      </c>
      <c r="D115" s="6"/>
      <c r="E115" s="6"/>
    </row>
    <row r="116" customFormat="false" ht="15" hidden="false" customHeight="false" outlineLevel="0" collapsed="false">
      <c r="A116" s="13"/>
      <c r="B116" s="6"/>
      <c r="C116" s="14" t="str">
        <f aca="false">IF($B116="","",IFERROR(INDEX(Inventario!$B$5:$B$104,MATCH($B116,Inventario!$A$5:$A$104,0)),"⚠ código no existe"))</f>
        <v/>
      </c>
      <c r="D116" s="6"/>
      <c r="E116" s="6"/>
    </row>
    <row r="117" customFormat="false" ht="15" hidden="false" customHeight="false" outlineLevel="0" collapsed="false">
      <c r="A117" s="13"/>
      <c r="B117" s="6"/>
      <c r="C117" s="14" t="str">
        <f aca="false">IF($B117="","",IFERROR(INDEX(Inventario!$B$5:$B$104,MATCH($B117,Inventario!$A$5:$A$104,0)),"⚠ código no existe"))</f>
        <v/>
      </c>
      <c r="D117" s="6"/>
      <c r="E117" s="6"/>
    </row>
    <row r="118" customFormat="false" ht="15" hidden="false" customHeight="false" outlineLevel="0" collapsed="false">
      <c r="A118" s="13"/>
      <c r="B118" s="6"/>
      <c r="C118" s="14" t="str">
        <f aca="false">IF($B118="","",IFERROR(INDEX(Inventario!$B$5:$B$104,MATCH($B118,Inventario!$A$5:$A$104,0)),"⚠ código no existe"))</f>
        <v/>
      </c>
      <c r="D118" s="6"/>
      <c r="E118" s="6"/>
    </row>
    <row r="119" customFormat="false" ht="15" hidden="false" customHeight="false" outlineLevel="0" collapsed="false">
      <c r="A119" s="13"/>
      <c r="B119" s="6"/>
      <c r="C119" s="14" t="str">
        <f aca="false">IF($B119="","",IFERROR(INDEX(Inventario!$B$5:$B$104,MATCH($B119,Inventario!$A$5:$A$104,0)),"⚠ código no existe"))</f>
        <v/>
      </c>
      <c r="D119" s="6"/>
      <c r="E119" s="6"/>
    </row>
    <row r="120" customFormat="false" ht="15" hidden="false" customHeight="false" outlineLevel="0" collapsed="false">
      <c r="A120" s="13"/>
      <c r="B120" s="6"/>
      <c r="C120" s="14" t="str">
        <f aca="false">IF($B120="","",IFERROR(INDEX(Inventario!$B$5:$B$104,MATCH($B120,Inventario!$A$5:$A$104,0)),"⚠ código no existe"))</f>
        <v/>
      </c>
      <c r="D120" s="6"/>
      <c r="E120" s="6"/>
    </row>
    <row r="121" customFormat="false" ht="15" hidden="false" customHeight="false" outlineLevel="0" collapsed="false">
      <c r="A121" s="13"/>
      <c r="B121" s="6"/>
      <c r="C121" s="14" t="str">
        <f aca="false">IF($B121="","",IFERROR(INDEX(Inventario!$B$5:$B$104,MATCH($B121,Inventario!$A$5:$A$104,0)),"⚠ código no existe"))</f>
        <v/>
      </c>
      <c r="D121" s="6"/>
      <c r="E121" s="6"/>
    </row>
    <row r="122" customFormat="false" ht="15" hidden="false" customHeight="false" outlineLevel="0" collapsed="false">
      <c r="A122" s="13"/>
      <c r="B122" s="6"/>
      <c r="C122" s="14" t="str">
        <f aca="false">IF($B122="","",IFERROR(INDEX(Inventario!$B$5:$B$104,MATCH($B122,Inventario!$A$5:$A$104,0)),"⚠ código no existe"))</f>
        <v/>
      </c>
      <c r="D122" s="6"/>
      <c r="E122" s="6"/>
    </row>
    <row r="123" customFormat="false" ht="15" hidden="false" customHeight="false" outlineLevel="0" collapsed="false">
      <c r="A123" s="13"/>
      <c r="B123" s="6"/>
      <c r="C123" s="14" t="str">
        <f aca="false">IF($B123="","",IFERROR(INDEX(Inventario!$B$5:$B$104,MATCH($B123,Inventario!$A$5:$A$104,0)),"⚠ código no existe"))</f>
        <v/>
      </c>
      <c r="D123" s="6"/>
      <c r="E123" s="6"/>
    </row>
    <row r="124" customFormat="false" ht="15" hidden="false" customHeight="false" outlineLevel="0" collapsed="false">
      <c r="A124" s="13"/>
      <c r="B124" s="6"/>
      <c r="C124" s="14" t="str">
        <f aca="false">IF($B124="","",IFERROR(INDEX(Inventario!$B$5:$B$104,MATCH($B124,Inventario!$A$5:$A$104,0)),"⚠ código no existe"))</f>
        <v/>
      </c>
      <c r="D124" s="6"/>
      <c r="E124" s="6"/>
    </row>
    <row r="125" customFormat="false" ht="15" hidden="false" customHeight="false" outlineLevel="0" collapsed="false">
      <c r="A125" s="13"/>
      <c r="B125" s="6"/>
      <c r="C125" s="14" t="str">
        <f aca="false">IF($B125="","",IFERROR(INDEX(Inventario!$B$5:$B$104,MATCH($B125,Inventario!$A$5:$A$104,0)),"⚠ código no existe"))</f>
        <v/>
      </c>
      <c r="D125" s="6"/>
      <c r="E125" s="6"/>
    </row>
    <row r="126" customFormat="false" ht="15" hidden="false" customHeight="false" outlineLevel="0" collapsed="false">
      <c r="A126" s="13"/>
      <c r="B126" s="6"/>
      <c r="C126" s="14" t="str">
        <f aca="false">IF($B126="","",IFERROR(INDEX(Inventario!$B$5:$B$104,MATCH($B126,Inventario!$A$5:$A$104,0)),"⚠ código no existe"))</f>
        <v/>
      </c>
      <c r="D126" s="6"/>
      <c r="E126" s="6"/>
    </row>
    <row r="127" customFormat="false" ht="15" hidden="false" customHeight="false" outlineLevel="0" collapsed="false">
      <c r="A127" s="13"/>
      <c r="B127" s="6"/>
      <c r="C127" s="14" t="str">
        <f aca="false">IF($B127="","",IFERROR(INDEX(Inventario!$B$5:$B$104,MATCH($B127,Inventario!$A$5:$A$104,0)),"⚠ código no existe"))</f>
        <v/>
      </c>
      <c r="D127" s="6"/>
      <c r="E127" s="6"/>
    </row>
    <row r="128" customFormat="false" ht="15" hidden="false" customHeight="false" outlineLevel="0" collapsed="false">
      <c r="A128" s="13"/>
      <c r="B128" s="6"/>
      <c r="C128" s="14" t="str">
        <f aca="false">IF($B128="","",IFERROR(INDEX(Inventario!$B$5:$B$104,MATCH($B128,Inventario!$A$5:$A$104,0)),"⚠ código no existe"))</f>
        <v/>
      </c>
      <c r="D128" s="6"/>
      <c r="E128" s="6"/>
    </row>
    <row r="129" customFormat="false" ht="15" hidden="false" customHeight="false" outlineLevel="0" collapsed="false">
      <c r="A129" s="13"/>
      <c r="B129" s="6"/>
      <c r="C129" s="14" t="str">
        <f aca="false">IF($B129="","",IFERROR(INDEX(Inventario!$B$5:$B$104,MATCH($B129,Inventario!$A$5:$A$104,0)),"⚠ código no existe"))</f>
        <v/>
      </c>
      <c r="D129" s="6"/>
      <c r="E129" s="6"/>
    </row>
    <row r="130" customFormat="false" ht="15" hidden="false" customHeight="false" outlineLevel="0" collapsed="false">
      <c r="A130" s="13"/>
      <c r="B130" s="6"/>
      <c r="C130" s="14" t="str">
        <f aca="false">IF($B130="","",IFERROR(INDEX(Inventario!$B$5:$B$104,MATCH($B130,Inventario!$A$5:$A$104,0)),"⚠ código no existe"))</f>
        <v/>
      </c>
      <c r="D130" s="6"/>
      <c r="E130" s="6"/>
    </row>
    <row r="131" customFormat="false" ht="15" hidden="false" customHeight="false" outlineLevel="0" collapsed="false">
      <c r="A131" s="13"/>
      <c r="B131" s="6"/>
      <c r="C131" s="14" t="str">
        <f aca="false">IF($B131="","",IFERROR(INDEX(Inventario!$B$5:$B$104,MATCH($B131,Inventario!$A$5:$A$104,0)),"⚠ código no existe"))</f>
        <v/>
      </c>
      <c r="D131" s="6"/>
      <c r="E131" s="6"/>
    </row>
    <row r="132" customFormat="false" ht="15" hidden="false" customHeight="false" outlineLevel="0" collapsed="false">
      <c r="A132" s="13"/>
      <c r="B132" s="6"/>
      <c r="C132" s="14" t="str">
        <f aca="false">IF($B132="","",IFERROR(INDEX(Inventario!$B$5:$B$104,MATCH($B132,Inventario!$A$5:$A$104,0)),"⚠ código no existe"))</f>
        <v/>
      </c>
      <c r="D132" s="6"/>
      <c r="E132" s="6"/>
    </row>
    <row r="133" customFormat="false" ht="15" hidden="false" customHeight="false" outlineLevel="0" collapsed="false">
      <c r="A133" s="13"/>
      <c r="B133" s="6"/>
      <c r="C133" s="14" t="str">
        <f aca="false">IF($B133="","",IFERROR(INDEX(Inventario!$B$5:$B$104,MATCH($B133,Inventario!$A$5:$A$104,0)),"⚠ código no existe"))</f>
        <v/>
      </c>
      <c r="D133" s="6"/>
      <c r="E133" s="6"/>
    </row>
    <row r="134" customFormat="false" ht="15" hidden="false" customHeight="false" outlineLevel="0" collapsed="false">
      <c r="A134" s="13"/>
      <c r="B134" s="6"/>
      <c r="C134" s="14" t="str">
        <f aca="false">IF($B134="","",IFERROR(INDEX(Inventario!$B$5:$B$104,MATCH($B134,Inventario!$A$5:$A$104,0)),"⚠ código no existe"))</f>
        <v/>
      </c>
      <c r="D134" s="6"/>
      <c r="E134" s="6"/>
    </row>
    <row r="135" customFormat="false" ht="15" hidden="false" customHeight="false" outlineLevel="0" collapsed="false">
      <c r="A135" s="13"/>
      <c r="B135" s="6"/>
      <c r="C135" s="14" t="str">
        <f aca="false">IF($B135="","",IFERROR(INDEX(Inventario!$B$5:$B$104,MATCH($B135,Inventario!$A$5:$A$104,0)),"⚠ código no existe"))</f>
        <v/>
      </c>
      <c r="D135" s="6"/>
      <c r="E135" s="6"/>
    </row>
    <row r="136" customFormat="false" ht="15" hidden="false" customHeight="false" outlineLevel="0" collapsed="false">
      <c r="A136" s="13"/>
      <c r="B136" s="6"/>
      <c r="C136" s="14" t="str">
        <f aca="false">IF($B136="","",IFERROR(INDEX(Inventario!$B$5:$B$104,MATCH($B136,Inventario!$A$5:$A$104,0)),"⚠ código no existe"))</f>
        <v/>
      </c>
      <c r="D136" s="6"/>
      <c r="E136" s="6"/>
    </row>
    <row r="137" customFormat="false" ht="15" hidden="false" customHeight="false" outlineLevel="0" collapsed="false">
      <c r="A137" s="13"/>
      <c r="B137" s="6"/>
      <c r="C137" s="14" t="str">
        <f aca="false">IF($B137="","",IFERROR(INDEX(Inventario!$B$5:$B$104,MATCH($B137,Inventario!$A$5:$A$104,0)),"⚠ código no existe"))</f>
        <v/>
      </c>
      <c r="D137" s="6"/>
      <c r="E137" s="6"/>
    </row>
    <row r="138" customFormat="false" ht="15" hidden="false" customHeight="false" outlineLevel="0" collapsed="false">
      <c r="A138" s="13"/>
      <c r="B138" s="6"/>
      <c r="C138" s="14" t="str">
        <f aca="false">IF($B138="","",IFERROR(INDEX(Inventario!$B$5:$B$104,MATCH($B138,Inventario!$A$5:$A$104,0)),"⚠ código no existe"))</f>
        <v/>
      </c>
      <c r="D138" s="6"/>
      <c r="E138" s="6"/>
    </row>
    <row r="139" customFormat="false" ht="15" hidden="false" customHeight="false" outlineLevel="0" collapsed="false">
      <c r="A139" s="13"/>
      <c r="B139" s="6"/>
      <c r="C139" s="14" t="str">
        <f aca="false">IF($B139="","",IFERROR(INDEX(Inventario!$B$5:$B$104,MATCH($B139,Inventario!$A$5:$A$104,0)),"⚠ código no existe"))</f>
        <v/>
      </c>
      <c r="D139" s="6"/>
      <c r="E139" s="6"/>
    </row>
    <row r="140" customFormat="false" ht="15" hidden="false" customHeight="false" outlineLevel="0" collapsed="false">
      <c r="A140" s="13"/>
      <c r="B140" s="6"/>
      <c r="C140" s="14" t="str">
        <f aca="false">IF($B140="","",IFERROR(INDEX(Inventario!$B$5:$B$104,MATCH($B140,Inventario!$A$5:$A$104,0)),"⚠ código no existe"))</f>
        <v/>
      </c>
      <c r="D140" s="6"/>
      <c r="E140" s="6"/>
    </row>
    <row r="141" customFormat="false" ht="15" hidden="false" customHeight="false" outlineLevel="0" collapsed="false">
      <c r="A141" s="13"/>
      <c r="B141" s="6"/>
      <c r="C141" s="14" t="str">
        <f aca="false">IF($B141="","",IFERROR(INDEX(Inventario!$B$5:$B$104,MATCH($B141,Inventario!$A$5:$A$104,0)),"⚠ código no existe"))</f>
        <v/>
      </c>
      <c r="D141" s="6"/>
      <c r="E141" s="6"/>
    </row>
    <row r="142" customFormat="false" ht="15" hidden="false" customHeight="false" outlineLevel="0" collapsed="false">
      <c r="A142" s="13"/>
      <c r="B142" s="6"/>
      <c r="C142" s="14" t="str">
        <f aca="false">IF($B142="","",IFERROR(INDEX(Inventario!$B$5:$B$104,MATCH($B142,Inventario!$A$5:$A$104,0)),"⚠ código no existe"))</f>
        <v/>
      </c>
      <c r="D142" s="6"/>
      <c r="E142" s="6"/>
    </row>
    <row r="143" customFormat="false" ht="15" hidden="false" customHeight="false" outlineLevel="0" collapsed="false">
      <c r="A143" s="13"/>
      <c r="B143" s="6"/>
      <c r="C143" s="14" t="str">
        <f aca="false">IF($B143="","",IFERROR(INDEX(Inventario!$B$5:$B$104,MATCH($B143,Inventario!$A$5:$A$104,0)),"⚠ código no existe"))</f>
        <v/>
      </c>
      <c r="D143" s="6"/>
      <c r="E143" s="6"/>
    </row>
    <row r="144" customFormat="false" ht="15" hidden="false" customHeight="false" outlineLevel="0" collapsed="false">
      <c r="A144" s="13"/>
      <c r="B144" s="6"/>
      <c r="C144" s="14" t="str">
        <f aca="false">IF($B144="","",IFERROR(INDEX(Inventario!$B$5:$B$104,MATCH($B144,Inventario!$A$5:$A$104,0)),"⚠ código no existe"))</f>
        <v/>
      </c>
      <c r="D144" s="6"/>
      <c r="E144" s="6"/>
    </row>
    <row r="145" customFormat="false" ht="15" hidden="false" customHeight="false" outlineLevel="0" collapsed="false">
      <c r="A145" s="13"/>
      <c r="B145" s="6"/>
      <c r="C145" s="14" t="str">
        <f aca="false">IF($B145="","",IFERROR(INDEX(Inventario!$B$5:$B$104,MATCH($B145,Inventario!$A$5:$A$104,0)),"⚠ código no existe"))</f>
        <v/>
      </c>
      <c r="D145" s="6"/>
      <c r="E145" s="6"/>
    </row>
    <row r="146" customFormat="false" ht="15" hidden="false" customHeight="false" outlineLevel="0" collapsed="false">
      <c r="A146" s="13"/>
      <c r="B146" s="6"/>
      <c r="C146" s="14" t="str">
        <f aca="false">IF($B146="","",IFERROR(INDEX(Inventario!$B$5:$B$104,MATCH($B146,Inventario!$A$5:$A$104,0)),"⚠ código no existe"))</f>
        <v/>
      </c>
      <c r="D146" s="6"/>
      <c r="E146" s="6"/>
    </row>
    <row r="147" customFormat="false" ht="15" hidden="false" customHeight="false" outlineLevel="0" collapsed="false">
      <c r="A147" s="13"/>
      <c r="B147" s="6"/>
      <c r="C147" s="14" t="str">
        <f aca="false">IF($B147="","",IFERROR(INDEX(Inventario!$B$5:$B$104,MATCH($B147,Inventario!$A$5:$A$104,0)),"⚠ código no existe"))</f>
        <v/>
      </c>
      <c r="D147" s="6"/>
      <c r="E147" s="6"/>
    </row>
    <row r="148" customFormat="false" ht="15" hidden="false" customHeight="false" outlineLevel="0" collapsed="false">
      <c r="A148" s="13"/>
      <c r="B148" s="6"/>
      <c r="C148" s="14" t="str">
        <f aca="false">IF($B148="","",IFERROR(INDEX(Inventario!$B$5:$B$104,MATCH($B148,Inventario!$A$5:$A$104,0)),"⚠ código no existe"))</f>
        <v/>
      </c>
      <c r="D148" s="6"/>
      <c r="E148" s="6"/>
    </row>
    <row r="149" customFormat="false" ht="15" hidden="false" customHeight="false" outlineLevel="0" collapsed="false">
      <c r="A149" s="13"/>
      <c r="B149" s="6"/>
      <c r="C149" s="14" t="str">
        <f aca="false">IF($B149="","",IFERROR(INDEX(Inventario!$B$5:$B$104,MATCH($B149,Inventario!$A$5:$A$104,0)),"⚠ código no existe"))</f>
        <v/>
      </c>
      <c r="D149" s="6"/>
      <c r="E149" s="6"/>
    </row>
    <row r="150" customFormat="false" ht="15" hidden="false" customHeight="false" outlineLevel="0" collapsed="false">
      <c r="A150" s="13"/>
      <c r="B150" s="6"/>
      <c r="C150" s="14" t="str">
        <f aca="false">IF($B150="","",IFERROR(INDEX(Inventario!$B$5:$B$104,MATCH($B150,Inventario!$A$5:$A$104,0)),"⚠ código no existe"))</f>
        <v/>
      </c>
      <c r="D150" s="6"/>
      <c r="E150" s="6"/>
    </row>
    <row r="151" customFormat="false" ht="15" hidden="false" customHeight="false" outlineLevel="0" collapsed="false">
      <c r="A151" s="13"/>
      <c r="B151" s="6"/>
      <c r="C151" s="14" t="str">
        <f aca="false">IF($B151="","",IFERROR(INDEX(Inventario!$B$5:$B$104,MATCH($B151,Inventario!$A$5:$A$104,0)),"⚠ código no existe"))</f>
        <v/>
      </c>
      <c r="D151" s="6"/>
      <c r="E151" s="6"/>
    </row>
    <row r="152" customFormat="false" ht="15" hidden="false" customHeight="false" outlineLevel="0" collapsed="false">
      <c r="A152" s="13"/>
      <c r="B152" s="6"/>
      <c r="C152" s="14" t="str">
        <f aca="false">IF($B152="","",IFERROR(INDEX(Inventario!$B$5:$B$104,MATCH($B152,Inventario!$A$5:$A$104,0)),"⚠ código no existe"))</f>
        <v/>
      </c>
      <c r="D152" s="6"/>
      <c r="E152" s="6"/>
    </row>
    <row r="153" customFormat="false" ht="15" hidden="false" customHeight="false" outlineLevel="0" collapsed="false">
      <c r="A153" s="13"/>
      <c r="B153" s="6"/>
      <c r="C153" s="14" t="str">
        <f aca="false">IF($B153="","",IFERROR(INDEX(Inventario!$B$5:$B$104,MATCH($B153,Inventario!$A$5:$A$104,0)),"⚠ código no existe"))</f>
        <v/>
      </c>
      <c r="D153" s="6"/>
      <c r="E153" s="6"/>
    </row>
    <row r="154" customFormat="false" ht="15" hidden="false" customHeight="false" outlineLevel="0" collapsed="false">
      <c r="A154" s="13"/>
      <c r="B154" s="6"/>
      <c r="C154" s="14" t="str">
        <f aca="false">IF($B154="","",IFERROR(INDEX(Inventario!$B$5:$B$104,MATCH($B154,Inventario!$A$5:$A$104,0)),"⚠ código no existe"))</f>
        <v/>
      </c>
      <c r="D154" s="6"/>
      <c r="E154" s="6"/>
    </row>
    <row r="155" customFormat="false" ht="15" hidden="false" customHeight="false" outlineLevel="0" collapsed="false">
      <c r="A155" s="13"/>
      <c r="B155" s="6"/>
      <c r="C155" s="14" t="str">
        <f aca="false">IF($B155="","",IFERROR(INDEX(Inventario!$B$5:$B$104,MATCH($B155,Inventario!$A$5:$A$104,0)),"⚠ código no existe"))</f>
        <v/>
      </c>
      <c r="D155" s="6"/>
      <c r="E155" s="6"/>
    </row>
    <row r="156" customFormat="false" ht="15" hidden="false" customHeight="false" outlineLevel="0" collapsed="false">
      <c r="A156" s="13"/>
      <c r="B156" s="6"/>
      <c r="C156" s="14" t="str">
        <f aca="false">IF($B156="","",IFERROR(INDEX(Inventario!$B$5:$B$104,MATCH($B156,Inventario!$A$5:$A$104,0)),"⚠ código no existe"))</f>
        <v/>
      </c>
      <c r="D156" s="6"/>
      <c r="E156" s="6"/>
    </row>
    <row r="157" customFormat="false" ht="15" hidden="false" customHeight="false" outlineLevel="0" collapsed="false">
      <c r="A157" s="13"/>
      <c r="B157" s="6"/>
      <c r="C157" s="14" t="str">
        <f aca="false">IF($B157="","",IFERROR(INDEX(Inventario!$B$5:$B$104,MATCH($B157,Inventario!$A$5:$A$104,0)),"⚠ código no existe"))</f>
        <v/>
      </c>
      <c r="D157" s="6"/>
      <c r="E157" s="6"/>
    </row>
    <row r="158" customFormat="false" ht="15" hidden="false" customHeight="false" outlineLevel="0" collapsed="false">
      <c r="A158" s="13"/>
      <c r="B158" s="6"/>
      <c r="C158" s="14" t="str">
        <f aca="false">IF($B158="","",IFERROR(INDEX(Inventario!$B$5:$B$104,MATCH($B158,Inventario!$A$5:$A$104,0)),"⚠ código no existe"))</f>
        <v/>
      </c>
      <c r="D158" s="6"/>
      <c r="E158" s="6"/>
    </row>
    <row r="159" customFormat="false" ht="15" hidden="false" customHeight="false" outlineLevel="0" collapsed="false">
      <c r="A159" s="13"/>
      <c r="B159" s="6"/>
      <c r="C159" s="14" t="str">
        <f aca="false">IF($B159="","",IFERROR(INDEX(Inventario!$B$5:$B$104,MATCH($B159,Inventario!$A$5:$A$104,0)),"⚠ código no existe"))</f>
        <v/>
      </c>
      <c r="D159" s="6"/>
      <c r="E159" s="6"/>
    </row>
    <row r="160" customFormat="false" ht="15" hidden="false" customHeight="false" outlineLevel="0" collapsed="false">
      <c r="A160" s="13"/>
      <c r="B160" s="6"/>
      <c r="C160" s="14" t="str">
        <f aca="false">IF($B160="","",IFERROR(INDEX(Inventario!$B$5:$B$104,MATCH($B160,Inventario!$A$5:$A$104,0)),"⚠ código no existe"))</f>
        <v/>
      </c>
      <c r="D160" s="6"/>
      <c r="E160" s="6"/>
    </row>
    <row r="161" customFormat="false" ht="15" hidden="false" customHeight="false" outlineLevel="0" collapsed="false">
      <c r="A161" s="13"/>
      <c r="B161" s="6"/>
      <c r="C161" s="14" t="str">
        <f aca="false">IF($B161="","",IFERROR(INDEX(Inventario!$B$5:$B$104,MATCH($B161,Inventario!$A$5:$A$104,0)),"⚠ código no existe"))</f>
        <v/>
      </c>
      <c r="D161" s="6"/>
      <c r="E161" s="6"/>
    </row>
    <row r="162" customFormat="false" ht="15" hidden="false" customHeight="false" outlineLevel="0" collapsed="false">
      <c r="A162" s="13"/>
      <c r="B162" s="6"/>
      <c r="C162" s="14" t="str">
        <f aca="false">IF($B162="","",IFERROR(INDEX(Inventario!$B$5:$B$104,MATCH($B162,Inventario!$A$5:$A$104,0)),"⚠ código no existe"))</f>
        <v/>
      </c>
      <c r="D162" s="6"/>
      <c r="E162" s="6"/>
    </row>
    <row r="163" customFormat="false" ht="15" hidden="false" customHeight="false" outlineLevel="0" collapsed="false">
      <c r="A163" s="13"/>
      <c r="B163" s="6"/>
      <c r="C163" s="14" t="str">
        <f aca="false">IF($B163="","",IFERROR(INDEX(Inventario!$B$5:$B$104,MATCH($B163,Inventario!$A$5:$A$104,0)),"⚠ código no existe"))</f>
        <v/>
      </c>
      <c r="D163" s="6"/>
      <c r="E163" s="6"/>
    </row>
    <row r="164" customFormat="false" ht="15" hidden="false" customHeight="false" outlineLevel="0" collapsed="false">
      <c r="A164" s="13"/>
      <c r="B164" s="6"/>
      <c r="C164" s="14" t="str">
        <f aca="false">IF($B164="","",IFERROR(INDEX(Inventario!$B$5:$B$104,MATCH($B164,Inventario!$A$5:$A$104,0)),"⚠ código no existe"))</f>
        <v/>
      </c>
      <c r="D164" s="6"/>
      <c r="E164" s="6"/>
    </row>
    <row r="165" customFormat="false" ht="15" hidden="false" customHeight="false" outlineLevel="0" collapsed="false">
      <c r="A165" s="13"/>
      <c r="B165" s="6"/>
      <c r="C165" s="14" t="str">
        <f aca="false">IF($B165="","",IFERROR(INDEX(Inventario!$B$5:$B$104,MATCH($B165,Inventario!$A$5:$A$104,0)),"⚠ código no existe"))</f>
        <v/>
      </c>
      <c r="D165" s="6"/>
      <c r="E165" s="6"/>
    </row>
    <row r="166" customFormat="false" ht="15" hidden="false" customHeight="false" outlineLevel="0" collapsed="false">
      <c r="A166" s="13"/>
      <c r="B166" s="6"/>
      <c r="C166" s="14" t="str">
        <f aca="false">IF($B166="","",IFERROR(INDEX(Inventario!$B$5:$B$104,MATCH($B166,Inventario!$A$5:$A$104,0)),"⚠ código no existe"))</f>
        <v/>
      </c>
      <c r="D166" s="6"/>
      <c r="E166" s="6"/>
    </row>
    <row r="167" customFormat="false" ht="15" hidden="false" customHeight="false" outlineLevel="0" collapsed="false">
      <c r="A167" s="13"/>
      <c r="B167" s="6"/>
      <c r="C167" s="14" t="str">
        <f aca="false">IF($B167="","",IFERROR(INDEX(Inventario!$B$5:$B$104,MATCH($B167,Inventario!$A$5:$A$104,0)),"⚠ código no existe"))</f>
        <v/>
      </c>
      <c r="D167" s="6"/>
      <c r="E167" s="6"/>
    </row>
    <row r="168" customFormat="false" ht="15" hidden="false" customHeight="false" outlineLevel="0" collapsed="false">
      <c r="A168" s="13"/>
      <c r="B168" s="6"/>
      <c r="C168" s="14" t="str">
        <f aca="false">IF($B168="","",IFERROR(INDEX(Inventario!$B$5:$B$104,MATCH($B168,Inventario!$A$5:$A$104,0)),"⚠ código no existe"))</f>
        <v/>
      </c>
      <c r="D168" s="6"/>
      <c r="E168" s="6"/>
    </row>
    <row r="169" customFormat="false" ht="15" hidden="false" customHeight="false" outlineLevel="0" collapsed="false">
      <c r="A169" s="13"/>
      <c r="B169" s="6"/>
      <c r="C169" s="14" t="str">
        <f aca="false">IF($B169="","",IFERROR(INDEX(Inventario!$B$5:$B$104,MATCH($B169,Inventario!$A$5:$A$104,0)),"⚠ código no existe"))</f>
        <v/>
      </c>
      <c r="D169" s="6"/>
      <c r="E169" s="6"/>
    </row>
    <row r="170" customFormat="false" ht="15" hidden="false" customHeight="false" outlineLevel="0" collapsed="false">
      <c r="A170" s="13"/>
      <c r="B170" s="6"/>
      <c r="C170" s="14" t="str">
        <f aca="false">IF($B170="","",IFERROR(INDEX(Inventario!$B$5:$B$104,MATCH($B170,Inventario!$A$5:$A$104,0)),"⚠ código no existe"))</f>
        <v/>
      </c>
      <c r="D170" s="6"/>
      <c r="E170" s="6"/>
    </row>
    <row r="171" customFormat="false" ht="15" hidden="false" customHeight="false" outlineLevel="0" collapsed="false">
      <c r="A171" s="13"/>
      <c r="B171" s="6"/>
      <c r="C171" s="14" t="str">
        <f aca="false">IF($B171="","",IFERROR(INDEX(Inventario!$B$5:$B$104,MATCH($B171,Inventario!$A$5:$A$104,0)),"⚠ código no existe"))</f>
        <v/>
      </c>
      <c r="D171" s="6"/>
      <c r="E171" s="6"/>
    </row>
    <row r="172" customFormat="false" ht="15" hidden="false" customHeight="false" outlineLevel="0" collapsed="false">
      <c r="A172" s="13"/>
      <c r="B172" s="6"/>
      <c r="C172" s="14" t="str">
        <f aca="false">IF($B172="","",IFERROR(INDEX(Inventario!$B$5:$B$104,MATCH($B172,Inventario!$A$5:$A$104,0)),"⚠ código no existe"))</f>
        <v/>
      </c>
      <c r="D172" s="6"/>
      <c r="E172" s="6"/>
    </row>
    <row r="173" customFormat="false" ht="15" hidden="false" customHeight="false" outlineLevel="0" collapsed="false">
      <c r="A173" s="13"/>
      <c r="B173" s="6"/>
      <c r="C173" s="14" t="str">
        <f aca="false">IF($B173="","",IFERROR(INDEX(Inventario!$B$5:$B$104,MATCH($B173,Inventario!$A$5:$A$104,0)),"⚠ código no existe"))</f>
        <v/>
      </c>
      <c r="D173" s="6"/>
      <c r="E173" s="6"/>
    </row>
    <row r="174" customFormat="false" ht="15" hidden="false" customHeight="false" outlineLevel="0" collapsed="false">
      <c r="A174" s="13"/>
      <c r="B174" s="6"/>
      <c r="C174" s="14" t="str">
        <f aca="false">IF($B174="","",IFERROR(INDEX(Inventario!$B$5:$B$104,MATCH($B174,Inventario!$A$5:$A$104,0)),"⚠ código no existe"))</f>
        <v/>
      </c>
      <c r="D174" s="6"/>
      <c r="E174" s="6"/>
    </row>
    <row r="175" customFormat="false" ht="15" hidden="false" customHeight="false" outlineLevel="0" collapsed="false">
      <c r="A175" s="13"/>
      <c r="B175" s="6"/>
      <c r="C175" s="14" t="str">
        <f aca="false">IF($B175="","",IFERROR(INDEX(Inventario!$B$5:$B$104,MATCH($B175,Inventario!$A$5:$A$104,0)),"⚠ código no existe"))</f>
        <v/>
      </c>
      <c r="D175" s="6"/>
      <c r="E175" s="6"/>
    </row>
    <row r="176" customFormat="false" ht="15" hidden="false" customHeight="false" outlineLevel="0" collapsed="false">
      <c r="A176" s="13"/>
      <c r="B176" s="6"/>
      <c r="C176" s="14" t="str">
        <f aca="false">IF($B176="","",IFERROR(INDEX(Inventario!$B$5:$B$104,MATCH($B176,Inventario!$A$5:$A$104,0)),"⚠ código no existe"))</f>
        <v/>
      </c>
      <c r="D176" s="6"/>
      <c r="E176" s="6"/>
    </row>
    <row r="177" customFormat="false" ht="15" hidden="false" customHeight="false" outlineLevel="0" collapsed="false">
      <c r="A177" s="13"/>
      <c r="B177" s="6"/>
      <c r="C177" s="14" t="str">
        <f aca="false">IF($B177="","",IFERROR(INDEX(Inventario!$B$5:$B$104,MATCH($B177,Inventario!$A$5:$A$104,0)),"⚠ código no existe"))</f>
        <v/>
      </c>
      <c r="D177" s="6"/>
      <c r="E177" s="6"/>
    </row>
    <row r="178" customFormat="false" ht="15" hidden="false" customHeight="false" outlineLevel="0" collapsed="false">
      <c r="A178" s="13"/>
      <c r="B178" s="6"/>
      <c r="C178" s="14" t="str">
        <f aca="false">IF($B178="","",IFERROR(INDEX(Inventario!$B$5:$B$104,MATCH($B178,Inventario!$A$5:$A$104,0)),"⚠ código no existe"))</f>
        <v/>
      </c>
      <c r="D178" s="6"/>
      <c r="E178" s="6"/>
    </row>
    <row r="179" customFormat="false" ht="15" hidden="false" customHeight="false" outlineLevel="0" collapsed="false">
      <c r="A179" s="13"/>
      <c r="B179" s="6"/>
      <c r="C179" s="14" t="str">
        <f aca="false">IF($B179="","",IFERROR(INDEX(Inventario!$B$5:$B$104,MATCH($B179,Inventario!$A$5:$A$104,0)),"⚠ código no existe"))</f>
        <v/>
      </c>
      <c r="D179" s="6"/>
      <c r="E179" s="6"/>
    </row>
    <row r="180" customFormat="false" ht="15" hidden="false" customHeight="false" outlineLevel="0" collapsed="false">
      <c r="A180" s="13"/>
      <c r="B180" s="6"/>
      <c r="C180" s="14" t="str">
        <f aca="false">IF($B180="","",IFERROR(INDEX(Inventario!$B$5:$B$104,MATCH($B180,Inventario!$A$5:$A$104,0)),"⚠ código no existe"))</f>
        <v/>
      </c>
      <c r="D180" s="6"/>
      <c r="E180" s="6"/>
    </row>
    <row r="181" customFormat="false" ht="15" hidden="false" customHeight="false" outlineLevel="0" collapsed="false">
      <c r="A181" s="13"/>
      <c r="B181" s="6"/>
      <c r="C181" s="14" t="str">
        <f aca="false">IF($B181="","",IFERROR(INDEX(Inventario!$B$5:$B$104,MATCH($B181,Inventario!$A$5:$A$104,0)),"⚠ código no existe"))</f>
        <v/>
      </c>
      <c r="D181" s="6"/>
      <c r="E181" s="6"/>
    </row>
    <row r="182" customFormat="false" ht="15" hidden="false" customHeight="false" outlineLevel="0" collapsed="false">
      <c r="A182" s="13"/>
      <c r="B182" s="6"/>
      <c r="C182" s="14" t="str">
        <f aca="false">IF($B182="","",IFERROR(INDEX(Inventario!$B$5:$B$104,MATCH($B182,Inventario!$A$5:$A$104,0)),"⚠ código no existe"))</f>
        <v/>
      </c>
      <c r="D182" s="6"/>
      <c r="E182" s="6"/>
    </row>
    <row r="183" customFormat="false" ht="15" hidden="false" customHeight="false" outlineLevel="0" collapsed="false">
      <c r="A183" s="13"/>
      <c r="B183" s="6"/>
      <c r="C183" s="14" t="str">
        <f aca="false">IF($B183="","",IFERROR(INDEX(Inventario!$B$5:$B$104,MATCH($B183,Inventario!$A$5:$A$104,0)),"⚠ código no existe"))</f>
        <v/>
      </c>
      <c r="D183" s="6"/>
      <c r="E183" s="6"/>
    </row>
    <row r="184" customFormat="false" ht="15" hidden="false" customHeight="false" outlineLevel="0" collapsed="false">
      <c r="A184" s="13"/>
      <c r="B184" s="6"/>
      <c r="C184" s="14" t="str">
        <f aca="false">IF($B184="","",IFERROR(INDEX(Inventario!$B$5:$B$104,MATCH($B184,Inventario!$A$5:$A$104,0)),"⚠ código no existe"))</f>
        <v/>
      </c>
      <c r="D184" s="6"/>
      <c r="E184" s="6"/>
    </row>
    <row r="185" customFormat="false" ht="15" hidden="false" customHeight="false" outlineLevel="0" collapsed="false">
      <c r="A185" s="13"/>
      <c r="B185" s="6"/>
      <c r="C185" s="14" t="str">
        <f aca="false">IF($B185="","",IFERROR(INDEX(Inventario!$B$5:$B$104,MATCH($B185,Inventario!$A$5:$A$104,0)),"⚠ código no existe"))</f>
        <v/>
      </c>
      <c r="D185" s="6"/>
      <c r="E185" s="6"/>
    </row>
    <row r="186" customFormat="false" ht="15" hidden="false" customHeight="false" outlineLevel="0" collapsed="false">
      <c r="A186" s="13"/>
      <c r="B186" s="6"/>
      <c r="C186" s="14" t="str">
        <f aca="false">IF($B186="","",IFERROR(INDEX(Inventario!$B$5:$B$104,MATCH($B186,Inventario!$A$5:$A$104,0)),"⚠ código no existe"))</f>
        <v/>
      </c>
      <c r="D186" s="6"/>
      <c r="E186" s="6"/>
    </row>
    <row r="187" customFormat="false" ht="15" hidden="false" customHeight="false" outlineLevel="0" collapsed="false">
      <c r="A187" s="13"/>
      <c r="B187" s="6"/>
      <c r="C187" s="14" t="str">
        <f aca="false">IF($B187="","",IFERROR(INDEX(Inventario!$B$5:$B$104,MATCH($B187,Inventario!$A$5:$A$104,0)),"⚠ código no existe"))</f>
        <v/>
      </c>
      <c r="D187" s="6"/>
      <c r="E187" s="6"/>
    </row>
    <row r="188" customFormat="false" ht="15" hidden="false" customHeight="false" outlineLevel="0" collapsed="false">
      <c r="A188" s="13"/>
      <c r="B188" s="6"/>
      <c r="C188" s="14" t="str">
        <f aca="false">IF($B188="","",IFERROR(INDEX(Inventario!$B$5:$B$104,MATCH($B188,Inventario!$A$5:$A$104,0)),"⚠ código no existe"))</f>
        <v/>
      </c>
      <c r="D188" s="6"/>
      <c r="E188" s="6"/>
    </row>
    <row r="189" customFormat="false" ht="15" hidden="false" customHeight="false" outlineLevel="0" collapsed="false">
      <c r="A189" s="13"/>
      <c r="B189" s="6"/>
      <c r="C189" s="14" t="str">
        <f aca="false">IF($B189="","",IFERROR(INDEX(Inventario!$B$5:$B$104,MATCH($B189,Inventario!$A$5:$A$104,0)),"⚠ código no existe"))</f>
        <v/>
      </c>
      <c r="D189" s="6"/>
      <c r="E189" s="6"/>
    </row>
    <row r="190" customFormat="false" ht="15" hidden="false" customHeight="false" outlineLevel="0" collapsed="false">
      <c r="A190" s="13"/>
      <c r="B190" s="6"/>
      <c r="C190" s="14" t="str">
        <f aca="false">IF($B190="","",IFERROR(INDEX(Inventario!$B$5:$B$104,MATCH($B190,Inventario!$A$5:$A$104,0)),"⚠ código no existe"))</f>
        <v/>
      </c>
      <c r="D190" s="6"/>
      <c r="E190" s="6"/>
    </row>
    <row r="191" customFormat="false" ht="15" hidden="false" customHeight="false" outlineLevel="0" collapsed="false">
      <c r="A191" s="13"/>
      <c r="B191" s="6"/>
      <c r="C191" s="14" t="str">
        <f aca="false">IF($B191="","",IFERROR(INDEX(Inventario!$B$5:$B$104,MATCH($B191,Inventario!$A$5:$A$104,0)),"⚠ código no existe"))</f>
        <v/>
      </c>
      <c r="D191" s="6"/>
      <c r="E191" s="6"/>
    </row>
    <row r="192" customFormat="false" ht="15" hidden="false" customHeight="false" outlineLevel="0" collapsed="false">
      <c r="A192" s="13"/>
      <c r="B192" s="6"/>
      <c r="C192" s="14" t="str">
        <f aca="false">IF($B192="","",IFERROR(INDEX(Inventario!$B$5:$B$104,MATCH($B192,Inventario!$A$5:$A$104,0)),"⚠ código no existe"))</f>
        <v/>
      </c>
      <c r="D192" s="6"/>
      <c r="E192" s="6"/>
    </row>
    <row r="193" customFormat="false" ht="15" hidden="false" customHeight="false" outlineLevel="0" collapsed="false">
      <c r="A193" s="13"/>
      <c r="B193" s="6"/>
      <c r="C193" s="14" t="str">
        <f aca="false">IF($B193="","",IFERROR(INDEX(Inventario!$B$5:$B$104,MATCH($B193,Inventario!$A$5:$A$104,0)),"⚠ código no existe"))</f>
        <v/>
      </c>
      <c r="D193" s="6"/>
      <c r="E193" s="6"/>
    </row>
    <row r="194" customFormat="false" ht="15" hidden="false" customHeight="false" outlineLevel="0" collapsed="false">
      <c r="A194" s="13"/>
      <c r="B194" s="6"/>
      <c r="C194" s="14" t="str">
        <f aca="false">IF($B194="","",IFERROR(INDEX(Inventario!$B$5:$B$104,MATCH($B194,Inventario!$A$5:$A$104,0)),"⚠ código no existe"))</f>
        <v/>
      </c>
      <c r="D194" s="6"/>
      <c r="E194" s="6"/>
    </row>
    <row r="195" customFormat="false" ht="15" hidden="false" customHeight="false" outlineLevel="0" collapsed="false">
      <c r="A195" s="13"/>
      <c r="B195" s="6"/>
      <c r="C195" s="14" t="str">
        <f aca="false">IF($B195="","",IFERROR(INDEX(Inventario!$B$5:$B$104,MATCH($B195,Inventario!$A$5:$A$104,0)),"⚠ código no existe"))</f>
        <v/>
      </c>
      <c r="D195" s="6"/>
      <c r="E195" s="6"/>
    </row>
    <row r="196" customFormat="false" ht="15" hidden="false" customHeight="false" outlineLevel="0" collapsed="false">
      <c r="A196" s="13"/>
      <c r="B196" s="6"/>
      <c r="C196" s="14" t="str">
        <f aca="false">IF($B196="","",IFERROR(INDEX(Inventario!$B$5:$B$104,MATCH($B196,Inventario!$A$5:$A$104,0)),"⚠ código no existe"))</f>
        <v/>
      </c>
      <c r="D196" s="6"/>
      <c r="E196" s="6"/>
    </row>
    <row r="197" customFormat="false" ht="15" hidden="false" customHeight="false" outlineLevel="0" collapsed="false">
      <c r="A197" s="13"/>
      <c r="B197" s="6"/>
      <c r="C197" s="14" t="str">
        <f aca="false">IF($B197="","",IFERROR(INDEX(Inventario!$B$5:$B$104,MATCH($B197,Inventario!$A$5:$A$104,0)),"⚠ código no existe"))</f>
        <v/>
      </c>
      <c r="D197" s="6"/>
      <c r="E197" s="6"/>
    </row>
    <row r="198" customFormat="false" ht="15" hidden="false" customHeight="false" outlineLevel="0" collapsed="false">
      <c r="A198" s="13"/>
      <c r="B198" s="6"/>
      <c r="C198" s="14" t="str">
        <f aca="false">IF($B198="","",IFERROR(INDEX(Inventario!$B$5:$B$104,MATCH($B198,Inventario!$A$5:$A$104,0)),"⚠ código no existe"))</f>
        <v/>
      </c>
      <c r="D198" s="6"/>
      <c r="E198" s="6"/>
    </row>
    <row r="199" customFormat="false" ht="15" hidden="false" customHeight="false" outlineLevel="0" collapsed="false">
      <c r="A199" s="13"/>
      <c r="B199" s="6"/>
      <c r="C199" s="14" t="str">
        <f aca="false">IF($B199="","",IFERROR(INDEX(Inventario!$B$5:$B$104,MATCH($B199,Inventario!$A$5:$A$104,0)),"⚠ código no existe"))</f>
        <v/>
      </c>
      <c r="D199" s="6"/>
      <c r="E199" s="6"/>
    </row>
    <row r="200" customFormat="false" ht="15" hidden="false" customHeight="false" outlineLevel="0" collapsed="false">
      <c r="A200" s="13"/>
      <c r="B200" s="6"/>
      <c r="C200" s="14" t="str">
        <f aca="false">IF($B200="","",IFERROR(INDEX(Inventario!$B$5:$B$104,MATCH($B200,Inventario!$A$5:$A$104,0)),"⚠ código no existe"))</f>
        <v/>
      </c>
      <c r="D200" s="6"/>
      <c r="E200" s="6"/>
    </row>
    <row r="201" customFormat="false" ht="15" hidden="false" customHeight="false" outlineLevel="0" collapsed="false">
      <c r="A201" s="13"/>
      <c r="B201" s="6"/>
      <c r="C201" s="14" t="str">
        <f aca="false">IF($B201="","",IFERROR(INDEX(Inventario!$B$5:$B$104,MATCH($B201,Inventario!$A$5:$A$104,0)),"⚠ código no existe"))</f>
        <v/>
      </c>
      <c r="D201" s="6"/>
      <c r="E201" s="6"/>
    </row>
    <row r="202" customFormat="false" ht="15" hidden="false" customHeight="false" outlineLevel="0" collapsed="false">
      <c r="A202" s="13"/>
      <c r="B202" s="6"/>
      <c r="C202" s="14" t="str">
        <f aca="false">IF($B202="","",IFERROR(INDEX(Inventario!$B$5:$B$104,MATCH($B202,Inventario!$A$5:$A$104,0)),"⚠ código no existe"))</f>
        <v/>
      </c>
      <c r="D202" s="6"/>
      <c r="E202" s="6"/>
    </row>
    <row r="203" customFormat="false" ht="15" hidden="false" customHeight="false" outlineLevel="0" collapsed="false">
      <c r="A203" s="13"/>
      <c r="B203" s="6"/>
      <c r="C203" s="14" t="str">
        <f aca="false">IF($B203="","",IFERROR(INDEX(Inventario!$B$5:$B$104,MATCH($B203,Inventario!$A$5:$A$104,0)),"⚠ código no existe"))</f>
        <v/>
      </c>
      <c r="D203" s="6"/>
      <c r="E203" s="6"/>
    </row>
    <row r="204" customFormat="false" ht="15" hidden="false" customHeight="false" outlineLevel="0" collapsed="false">
      <c r="A204" s="13"/>
      <c r="B204" s="6"/>
      <c r="C204" s="14" t="str">
        <f aca="false">IF($B204="","",IFERROR(INDEX(Inventario!$B$5:$B$104,MATCH($B204,Inventario!$A$5:$A$104,0)),"⚠ código no existe"))</f>
        <v/>
      </c>
      <c r="D204" s="6"/>
      <c r="E204" s="6"/>
    </row>
    <row r="205" customFormat="false" ht="15" hidden="false" customHeight="false" outlineLevel="0" collapsed="false">
      <c r="A205" s="13"/>
      <c r="B205" s="6"/>
      <c r="C205" s="14" t="str">
        <f aca="false">IF($B205="","",IFERROR(INDEX(Inventario!$B$5:$B$104,MATCH($B205,Inventario!$A$5:$A$104,0)),"⚠ código no existe"))</f>
        <v/>
      </c>
      <c r="D205" s="6"/>
      <c r="E205" s="6"/>
    </row>
    <row r="206" customFormat="false" ht="15" hidden="false" customHeight="false" outlineLevel="0" collapsed="false">
      <c r="A206" s="13"/>
      <c r="B206" s="6"/>
      <c r="C206" s="14" t="str">
        <f aca="false">IF($B206="","",IFERROR(INDEX(Inventario!$B$5:$B$104,MATCH($B206,Inventario!$A$5:$A$104,0)),"⚠ código no existe"))</f>
        <v/>
      </c>
      <c r="D206" s="6"/>
      <c r="E206" s="6"/>
    </row>
    <row r="207" customFormat="false" ht="15" hidden="false" customHeight="false" outlineLevel="0" collapsed="false">
      <c r="A207" s="13"/>
      <c r="B207" s="6"/>
      <c r="C207" s="14" t="str">
        <f aca="false">IF($B207="","",IFERROR(INDEX(Inventario!$B$5:$B$104,MATCH($B207,Inventario!$A$5:$A$104,0)),"⚠ código no existe"))</f>
        <v/>
      </c>
      <c r="D207" s="6"/>
      <c r="E207" s="6"/>
    </row>
    <row r="208" customFormat="false" ht="15" hidden="false" customHeight="false" outlineLevel="0" collapsed="false">
      <c r="A208" s="13"/>
      <c r="B208" s="6"/>
      <c r="C208" s="14" t="str">
        <f aca="false">IF($B208="","",IFERROR(INDEX(Inventario!$B$5:$B$104,MATCH($B208,Inventario!$A$5:$A$104,0)),"⚠ código no existe"))</f>
        <v/>
      </c>
      <c r="D208" s="6"/>
      <c r="E208" s="6"/>
    </row>
    <row r="209" customFormat="false" ht="15" hidden="false" customHeight="false" outlineLevel="0" collapsed="false">
      <c r="A209" s="13"/>
      <c r="B209" s="6"/>
      <c r="C209" s="14" t="str">
        <f aca="false">IF($B209="","",IFERROR(INDEX(Inventario!$B$5:$B$104,MATCH($B209,Inventario!$A$5:$A$104,0)),"⚠ código no existe"))</f>
        <v/>
      </c>
      <c r="D209" s="6"/>
      <c r="E209" s="6"/>
    </row>
    <row r="210" customFormat="false" ht="15" hidden="false" customHeight="false" outlineLevel="0" collapsed="false">
      <c r="A210" s="13"/>
      <c r="B210" s="6"/>
      <c r="C210" s="14" t="str">
        <f aca="false">IF($B210="","",IFERROR(INDEX(Inventario!$B$5:$B$104,MATCH($B210,Inventario!$A$5:$A$104,0)),"⚠ código no existe"))</f>
        <v/>
      </c>
      <c r="D210" s="6"/>
      <c r="E210" s="6"/>
    </row>
    <row r="211" customFormat="false" ht="15" hidden="false" customHeight="false" outlineLevel="0" collapsed="false">
      <c r="A211" s="13"/>
      <c r="B211" s="6"/>
      <c r="C211" s="14" t="str">
        <f aca="false">IF($B211="","",IFERROR(INDEX(Inventario!$B$5:$B$104,MATCH($B211,Inventario!$A$5:$A$104,0)),"⚠ código no existe"))</f>
        <v/>
      </c>
      <c r="D211" s="6"/>
      <c r="E211" s="6"/>
    </row>
    <row r="212" customFormat="false" ht="15" hidden="false" customHeight="false" outlineLevel="0" collapsed="false">
      <c r="A212" s="13"/>
      <c r="B212" s="6"/>
      <c r="C212" s="14" t="str">
        <f aca="false">IF($B212="","",IFERROR(INDEX(Inventario!$B$5:$B$104,MATCH($B212,Inventario!$A$5:$A$104,0)),"⚠ código no existe"))</f>
        <v/>
      </c>
      <c r="D212" s="6"/>
      <c r="E212" s="6"/>
    </row>
    <row r="213" customFormat="false" ht="15" hidden="false" customHeight="false" outlineLevel="0" collapsed="false">
      <c r="A213" s="13"/>
      <c r="B213" s="6"/>
      <c r="C213" s="14" t="str">
        <f aca="false">IF($B213="","",IFERROR(INDEX(Inventario!$B$5:$B$104,MATCH($B213,Inventario!$A$5:$A$104,0)),"⚠ código no existe"))</f>
        <v/>
      </c>
      <c r="D213" s="6"/>
      <c r="E213" s="6"/>
    </row>
    <row r="214" customFormat="false" ht="15" hidden="false" customHeight="false" outlineLevel="0" collapsed="false">
      <c r="A214" s="13"/>
      <c r="B214" s="6"/>
      <c r="C214" s="14" t="str">
        <f aca="false">IF($B214="","",IFERROR(INDEX(Inventario!$B$5:$B$104,MATCH($B214,Inventario!$A$5:$A$104,0)),"⚠ código no existe"))</f>
        <v/>
      </c>
      <c r="D214" s="6"/>
      <c r="E214" s="6"/>
    </row>
    <row r="215" customFormat="false" ht="15" hidden="false" customHeight="false" outlineLevel="0" collapsed="false">
      <c r="A215" s="13"/>
      <c r="B215" s="6"/>
      <c r="C215" s="14" t="str">
        <f aca="false">IF($B215="","",IFERROR(INDEX(Inventario!$B$5:$B$104,MATCH($B215,Inventario!$A$5:$A$104,0)),"⚠ código no existe"))</f>
        <v/>
      </c>
      <c r="D215" s="6"/>
      <c r="E215" s="6"/>
    </row>
    <row r="216" customFormat="false" ht="15" hidden="false" customHeight="false" outlineLevel="0" collapsed="false">
      <c r="A216" s="13"/>
      <c r="B216" s="6"/>
      <c r="C216" s="14" t="str">
        <f aca="false">IF($B216="","",IFERROR(INDEX(Inventario!$B$5:$B$104,MATCH($B216,Inventario!$A$5:$A$104,0)),"⚠ código no existe"))</f>
        <v/>
      </c>
      <c r="D216" s="6"/>
      <c r="E216" s="6"/>
    </row>
    <row r="217" customFormat="false" ht="15" hidden="false" customHeight="false" outlineLevel="0" collapsed="false">
      <c r="A217" s="13"/>
      <c r="B217" s="6"/>
      <c r="C217" s="14" t="str">
        <f aca="false">IF($B217="","",IFERROR(INDEX(Inventario!$B$5:$B$104,MATCH($B217,Inventario!$A$5:$A$104,0)),"⚠ código no existe"))</f>
        <v/>
      </c>
      <c r="D217" s="6"/>
      <c r="E217" s="6"/>
    </row>
    <row r="218" customFormat="false" ht="15" hidden="false" customHeight="false" outlineLevel="0" collapsed="false">
      <c r="A218" s="13"/>
      <c r="B218" s="6"/>
      <c r="C218" s="14" t="str">
        <f aca="false">IF($B218="","",IFERROR(INDEX(Inventario!$B$5:$B$104,MATCH($B218,Inventario!$A$5:$A$104,0)),"⚠ código no existe"))</f>
        <v/>
      </c>
      <c r="D218" s="6"/>
      <c r="E218" s="6"/>
    </row>
    <row r="219" customFormat="false" ht="15" hidden="false" customHeight="false" outlineLevel="0" collapsed="false">
      <c r="A219" s="13"/>
      <c r="B219" s="6"/>
      <c r="C219" s="14" t="str">
        <f aca="false">IF($B219="","",IFERROR(INDEX(Inventario!$B$5:$B$104,MATCH($B219,Inventario!$A$5:$A$104,0)),"⚠ código no existe"))</f>
        <v/>
      </c>
      <c r="D219" s="6"/>
      <c r="E219" s="6"/>
    </row>
    <row r="220" customFormat="false" ht="15" hidden="false" customHeight="false" outlineLevel="0" collapsed="false">
      <c r="A220" s="13"/>
      <c r="B220" s="6"/>
      <c r="C220" s="14" t="str">
        <f aca="false">IF($B220="","",IFERROR(INDEX(Inventario!$B$5:$B$104,MATCH($B220,Inventario!$A$5:$A$104,0)),"⚠ código no existe"))</f>
        <v/>
      </c>
      <c r="D220" s="6"/>
      <c r="E220" s="6"/>
    </row>
    <row r="221" customFormat="false" ht="15" hidden="false" customHeight="false" outlineLevel="0" collapsed="false">
      <c r="A221" s="13"/>
      <c r="B221" s="6"/>
      <c r="C221" s="14" t="str">
        <f aca="false">IF($B221="","",IFERROR(INDEX(Inventario!$B$5:$B$104,MATCH($B221,Inventario!$A$5:$A$104,0)),"⚠ código no existe"))</f>
        <v/>
      </c>
      <c r="D221" s="6"/>
      <c r="E221" s="6"/>
    </row>
    <row r="222" customFormat="false" ht="15" hidden="false" customHeight="false" outlineLevel="0" collapsed="false">
      <c r="A222" s="13"/>
      <c r="B222" s="6"/>
      <c r="C222" s="14" t="str">
        <f aca="false">IF($B222="","",IFERROR(INDEX(Inventario!$B$5:$B$104,MATCH($B222,Inventario!$A$5:$A$104,0)),"⚠ código no existe"))</f>
        <v/>
      </c>
      <c r="D222" s="6"/>
      <c r="E222" s="6"/>
    </row>
    <row r="223" customFormat="false" ht="15" hidden="false" customHeight="false" outlineLevel="0" collapsed="false">
      <c r="A223" s="13"/>
      <c r="B223" s="6"/>
      <c r="C223" s="14" t="str">
        <f aca="false">IF($B223="","",IFERROR(INDEX(Inventario!$B$5:$B$104,MATCH($B223,Inventario!$A$5:$A$104,0)),"⚠ código no existe"))</f>
        <v/>
      </c>
      <c r="D223" s="6"/>
      <c r="E223" s="6"/>
    </row>
    <row r="224" customFormat="false" ht="15" hidden="false" customHeight="false" outlineLevel="0" collapsed="false">
      <c r="A224" s="13"/>
      <c r="B224" s="6"/>
      <c r="C224" s="14" t="str">
        <f aca="false">IF($B224="","",IFERROR(INDEX(Inventario!$B$5:$B$104,MATCH($B224,Inventario!$A$5:$A$104,0)),"⚠ código no existe"))</f>
        <v/>
      </c>
      <c r="D224" s="6"/>
      <c r="E224" s="6"/>
    </row>
    <row r="225" customFormat="false" ht="15" hidden="false" customHeight="false" outlineLevel="0" collapsed="false">
      <c r="A225" s="13"/>
      <c r="B225" s="6"/>
      <c r="C225" s="14" t="str">
        <f aca="false">IF($B225="","",IFERROR(INDEX(Inventario!$B$5:$B$104,MATCH($B225,Inventario!$A$5:$A$104,0)),"⚠ código no existe"))</f>
        <v/>
      </c>
      <c r="D225" s="6"/>
      <c r="E225" s="6"/>
    </row>
    <row r="226" customFormat="false" ht="15" hidden="false" customHeight="false" outlineLevel="0" collapsed="false">
      <c r="A226" s="13"/>
      <c r="B226" s="6"/>
      <c r="C226" s="14" t="str">
        <f aca="false">IF($B226="","",IFERROR(INDEX(Inventario!$B$5:$B$104,MATCH($B226,Inventario!$A$5:$A$104,0)),"⚠ código no existe"))</f>
        <v/>
      </c>
      <c r="D226" s="6"/>
      <c r="E226" s="6"/>
    </row>
    <row r="227" customFormat="false" ht="15" hidden="false" customHeight="false" outlineLevel="0" collapsed="false">
      <c r="A227" s="13"/>
      <c r="B227" s="6"/>
      <c r="C227" s="14" t="str">
        <f aca="false">IF($B227="","",IFERROR(INDEX(Inventario!$B$5:$B$104,MATCH($B227,Inventario!$A$5:$A$104,0)),"⚠ código no existe"))</f>
        <v/>
      </c>
      <c r="D227" s="6"/>
      <c r="E227" s="6"/>
    </row>
    <row r="228" customFormat="false" ht="15" hidden="false" customHeight="false" outlineLevel="0" collapsed="false">
      <c r="A228" s="13"/>
      <c r="B228" s="6"/>
      <c r="C228" s="14" t="str">
        <f aca="false">IF($B228="","",IFERROR(INDEX(Inventario!$B$5:$B$104,MATCH($B228,Inventario!$A$5:$A$104,0)),"⚠ código no existe"))</f>
        <v/>
      </c>
      <c r="D228" s="6"/>
      <c r="E228" s="6"/>
    </row>
    <row r="229" customFormat="false" ht="15" hidden="false" customHeight="false" outlineLevel="0" collapsed="false">
      <c r="A229" s="13"/>
      <c r="B229" s="6"/>
      <c r="C229" s="14" t="str">
        <f aca="false">IF($B229="","",IFERROR(INDEX(Inventario!$B$5:$B$104,MATCH($B229,Inventario!$A$5:$A$104,0)),"⚠ código no existe"))</f>
        <v/>
      </c>
      <c r="D229" s="6"/>
      <c r="E229" s="6"/>
    </row>
    <row r="230" customFormat="false" ht="15" hidden="false" customHeight="false" outlineLevel="0" collapsed="false">
      <c r="A230" s="13"/>
      <c r="B230" s="6"/>
      <c r="C230" s="14" t="str">
        <f aca="false">IF($B230="","",IFERROR(INDEX(Inventario!$B$5:$B$104,MATCH($B230,Inventario!$A$5:$A$104,0)),"⚠ código no existe"))</f>
        <v/>
      </c>
      <c r="D230" s="6"/>
      <c r="E230" s="6"/>
    </row>
    <row r="231" customFormat="false" ht="15" hidden="false" customHeight="false" outlineLevel="0" collapsed="false">
      <c r="A231" s="13"/>
      <c r="B231" s="6"/>
      <c r="C231" s="14" t="str">
        <f aca="false">IF($B231="","",IFERROR(INDEX(Inventario!$B$5:$B$104,MATCH($B231,Inventario!$A$5:$A$104,0)),"⚠ código no existe"))</f>
        <v/>
      </c>
      <c r="D231" s="6"/>
      <c r="E231" s="6"/>
    </row>
    <row r="232" customFormat="false" ht="15" hidden="false" customHeight="false" outlineLevel="0" collapsed="false">
      <c r="A232" s="13"/>
      <c r="B232" s="6"/>
      <c r="C232" s="14" t="str">
        <f aca="false">IF($B232="","",IFERROR(INDEX(Inventario!$B$5:$B$104,MATCH($B232,Inventario!$A$5:$A$104,0)),"⚠ código no existe"))</f>
        <v/>
      </c>
      <c r="D232" s="6"/>
      <c r="E232" s="6"/>
    </row>
    <row r="233" customFormat="false" ht="15" hidden="false" customHeight="false" outlineLevel="0" collapsed="false">
      <c r="A233" s="13"/>
      <c r="B233" s="6"/>
      <c r="C233" s="14" t="str">
        <f aca="false">IF($B233="","",IFERROR(INDEX(Inventario!$B$5:$B$104,MATCH($B233,Inventario!$A$5:$A$104,0)),"⚠ código no existe"))</f>
        <v/>
      </c>
      <c r="D233" s="6"/>
      <c r="E233" s="6"/>
    </row>
    <row r="234" customFormat="false" ht="15" hidden="false" customHeight="false" outlineLevel="0" collapsed="false">
      <c r="A234" s="13"/>
      <c r="B234" s="6"/>
      <c r="C234" s="14" t="str">
        <f aca="false">IF($B234="","",IFERROR(INDEX(Inventario!$B$5:$B$104,MATCH($B234,Inventario!$A$5:$A$104,0)),"⚠ código no existe"))</f>
        <v/>
      </c>
      <c r="D234" s="6"/>
      <c r="E234" s="6"/>
    </row>
    <row r="235" customFormat="false" ht="15" hidden="false" customHeight="false" outlineLevel="0" collapsed="false">
      <c r="A235" s="13"/>
      <c r="B235" s="6"/>
      <c r="C235" s="14" t="str">
        <f aca="false">IF($B235="","",IFERROR(INDEX(Inventario!$B$5:$B$104,MATCH($B235,Inventario!$A$5:$A$104,0)),"⚠ código no existe"))</f>
        <v/>
      </c>
      <c r="D235" s="6"/>
      <c r="E235" s="6"/>
    </row>
    <row r="236" customFormat="false" ht="15" hidden="false" customHeight="false" outlineLevel="0" collapsed="false">
      <c r="A236" s="13"/>
      <c r="B236" s="6"/>
      <c r="C236" s="14" t="str">
        <f aca="false">IF($B236="","",IFERROR(INDEX(Inventario!$B$5:$B$104,MATCH($B236,Inventario!$A$5:$A$104,0)),"⚠ código no existe"))</f>
        <v/>
      </c>
      <c r="D236" s="6"/>
      <c r="E236" s="6"/>
    </row>
    <row r="237" customFormat="false" ht="15" hidden="false" customHeight="false" outlineLevel="0" collapsed="false">
      <c r="A237" s="13"/>
      <c r="B237" s="6"/>
      <c r="C237" s="14" t="str">
        <f aca="false">IF($B237="","",IFERROR(INDEX(Inventario!$B$5:$B$104,MATCH($B237,Inventario!$A$5:$A$104,0)),"⚠ código no existe"))</f>
        <v/>
      </c>
      <c r="D237" s="6"/>
      <c r="E237" s="6"/>
    </row>
    <row r="238" customFormat="false" ht="15" hidden="false" customHeight="false" outlineLevel="0" collapsed="false">
      <c r="A238" s="13"/>
      <c r="B238" s="6"/>
      <c r="C238" s="14" t="str">
        <f aca="false">IF($B238="","",IFERROR(INDEX(Inventario!$B$5:$B$104,MATCH($B238,Inventario!$A$5:$A$104,0)),"⚠ código no existe"))</f>
        <v/>
      </c>
      <c r="D238" s="6"/>
      <c r="E238" s="6"/>
    </row>
    <row r="239" customFormat="false" ht="15" hidden="false" customHeight="false" outlineLevel="0" collapsed="false">
      <c r="A239" s="13"/>
      <c r="B239" s="6"/>
      <c r="C239" s="14" t="str">
        <f aca="false">IF($B239="","",IFERROR(INDEX(Inventario!$B$5:$B$104,MATCH($B239,Inventario!$A$5:$A$104,0)),"⚠ código no existe"))</f>
        <v/>
      </c>
      <c r="D239" s="6"/>
      <c r="E239" s="6"/>
    </row>
    <row r="240" customFormat="false" ht="15" hidden="false" customHeight="false" outlineLevel="0" collapsed="false">
      <c r="A240" s="13"/>
      <c r="B240" s="6"/>
      <c r="C240" s="14" t="str">
        <f aca="false">IF($B240="","",IFERROR(INDEX(Inventario!$B$5:$B$104,MATCH($B240,Inventario!$A$5:$A$104,0)),"⚠ código no existe"))</f>
        <v/>
      </c>
      <c r="D240" s="6"/>
      <c r="E240" s="6"/>
    </row>
    <row r="241" customFormat="false" ht="15" hidden="false" customHeight="false" outlineLevel="0" collapsed="false">
      <c r="A241" s="13"/>
      <c r="B241" s="6"/>
      <c r="C241" s="14" t="str">
        <f aca="false">IF($B241="","",IFERROR(INDEX(Inventario!$B$5:$B$104,MATCH($B241,Inventario!$A$5:$A$104,0)),"⚠ código no existe"))</f>
        <v/>
      </c>
      <c r="D241" s="6"/>
      <c r="E241" s="6"/>
    </row>
    <row r="242" customFormat="false" ht="15" hidden="false" customHeight="false" outlineLevel="0" collapsed="false">
      <c r="A242" s="13"/>
      <c r="B242" s="6"/>
      <c r="C242" s="14" t="str">
        <f aca="false">IF($B242="","",IFERROR(INDEX(Inventario!$B$5:$B$104,MATCH($B242,Inventario!$A$5:$A$104,0)),"⚠ código no existe"))</f>
        <v/>
      </c>
      <c r="D242" s="6"/>
      <c r="E242" s="6"/>
    </row>
    <row r="243" customFormat="false" ht="15" hidden="false" customHeight="false" outlineLevel="0" collapsed="false">
      <c r="A243" s="13"/>
      <c r="B243" s="6"/>
      <c r="C243" s="14" t="str">
        <f aca="false">IF($B243="","",IFERROR(INDEX(Inventario!$B$5:$B$104,MATCH($B243,Inventario!$A$5:$A$104,0)),"⚠ código no existe"))</f>
        <v/>
      </c>
      <c r="D243" s="6"/>
      <c r="E243" s="6"/>
    </row>
    <row r="244" customFormat="false" ht="15" hidden="false" customHeight="false" outlineLevel="0" collapsed="false">
      <c r="A244" s="13"/>
      <c r="B244" s="6"/>
      <c r="C244" s="14" t="str">
        <f aca="false">IF($B244="","",IFERROR(INDEX(Inventario!$B$5:$B$104,MATCH($B244,Inventario!$A$5:$A$104,0)),"⚠ código no existe"))</f>
        <v/>
      </c>
      <c r="D244" s="6"/>
      <c r="E244" s="6"/>
    </row>
    <row r="245" customFormat="false" ht="15" hidden="false" customHeight="false" outlineLevel="0" collapsed="false">
      <c r="A245" s="13"/>
      <c r="B245" s="6"/>
      <c r="C245" s="14" t="str">
        <f aca="false">IF($B245="","",IFERROR(INDEX(Inventario!$B$5:$B$104,MATCH($B245,Inventario!$A$5:$A$104,0)),"⚠ código no existe"))</f>
        <v/>
      </c>
      <c r="D245" s="6"/>
      <c r="E245" s="6"/>
    </row>
    <row r="246" customFormat="false" ht="15" hidden="false" customHeight="false" outlineLevel="0" collapsed="false">
      <c r="A246" s="13"/>
      <c r="B246" s="6"/>
      <c r="C246" s="14" t="str">
        <f aca="false">IF($B246="","",IFERROR(INDEX(Inventario!$B$5:$B$104,MATCH($B246,Inventario!$A$5:$A$104,0)),"⚠ código no existe"))</f>
        <v/>
      </c>
      <c r="D246" s="6"/>
      <c r="E246" s="6"/>
    </row>
    <row r="247" customFormat="false" ht="15" hidden="false" customHeight="false" outlineLevel="0" collapsed="false">
      <c r="A247" s="13"/>
      <c r="B247" s="6"/>
      <c r="C247" s="14" t="str">
        <f aca="false">IF($B247="","",IFERROR(INDEX(Inventario!$B$5:$B$104,MATCH($B247,Inventario!$A$5:$A$104,0)),"⚠ código no existe"))</f>
        <v/>
      </c>
      <c r="D247" s="6"/>
      <c r="E247" s="6"/>
    </row>
    <row r="248" customFormat="false" ht="15" hidden="false" customHeight="false" outlineLevel="0" collapsed="false">
      <c r="A248" s="13"/>
      <c r="B248" s="6"/>
      <c r="C248" s="14" t="str">
        <f aca="false">IF($B248="","",IFERROR(INDEX(Inventario!$B$5:$B$104,MATCH($B248,Inventario!$A$5:$A$104,0)),"⚠ código no existe"))</f>
        <v/>
      </c>
      <c r="D248" s="6"/>
      <c r="E248" s="6"/>
    </row>
    <row r="249" customFormat="false" ht="15" hidden="false" customHeight="false" outlineLevel="0" collapsed="false">
      <c r="A249" s="13"/>
      <c r="B249" s="6"/>
      <c r="C249" s="14" t="str">
        <f aca="false">IF($B249="","",IFERROR(INDEX(Inventario!$B$5:$B$104,MATCH($B249,Inventario!$A$5:$A$104,0)),"⚠ código no existe"))</f>
        <v/>
      </c>
      <c r="D249" s="6"/>
      <c r="E249" s="6"/>
    </row>
    <row r="250" customFormat="false" ht="15" hidden="false" customHeight="false" outlineLevel="0" collapsed="false">
      <c r="A250" s="13"/>
      <c r="B250" s="6"/>
      <c r="C250" s="14" t="str">
        <f aca="false">IF($B250="","",IFERROR(INDEX(Inventario!$B$5:$B$104,MATCH($B250,Inventario!$A$5:$A$104,0)),"⚠ código no existe"))</f>
        <v/>
      </c>
      <c r="D250" s="6"/>
      <c r="E250" s="6"/>
    </row>
    <row r="251" customFormat="false" ht="15" hidden="false" customHeight="false" outlineLevel="0" collapsed="false">
      <c r="A251" s="13"/>
      <c r="B251" s="6"/>
      <c r="C251" s="14" t="str">
        <f aca="false">IF($B251="","",IFERROR(INDEX(Inventario!$B$5:$B$104,MATCH($B251,Inventario!$A$5:$A$104,0)),"⚠ código no existe"))</f>
        <v/>
      </c>
      <c r="D251" s="6"/>
      <c r="E251" s="6"/>
    </row>
    <row r="252" customFormat="false" ht="15" hidden="false" customHeight="false" outlineLevel="0" collapsed="false">
      <c r="A252" s="13"/>
      <c r="B252" s="6"/>
      <c r="C252" s="14" t="str">
        <f aca="false">IF($B252="","",IFERROR(INDEX(Inventario!$B$5:$B$104,MATCH($B252,Inventario!$A$5:$A$104,0)),"⚠ código no existe"))</f>
        <v/>
      </c>
      <c r="D252" s="6"/>
      <c r="E252" s="6"/>
    </row>
    <row r="253" customFormat="false" ht="15" hidden="false" customHeight="false" outlineLevel="0" collapsed="false">
      <c r="A253" s="13"/>
      <c r="B253" s="6"/>
      <c r="C253" s="14" t="str">
        <f aca="false">IF($B253="","",IFERROR(INDEX(Inventario!$B$5:$B$104,MATCH($B253,Inventario!$A$5:$A$104,0)),"⚠ código no existe"))</f>
        <v/>
      </c>
      <c r="D253" s="6"/>
      <c r="E253" s="6"/>
    </row>
    <row r="254" customFormat="false" ht="15" hidden="false" customHeight="false" outlineLevel="0" collapsed="false">
      <c r="A254" s="13"/>
      <c r="B254" s="6"/>
      <c r="C254" s="14" t="str">
        <f aca="false">IF($B254="","",IFERROR(INDEX(Inventario!$B$5:$B$104,MATCH($B254,Inventario!$A$5:$A$104,0)),"⚠ código no existe"))</f>
        <v/>
      </c>
      <c r="D254" s="6"/>
      <c r="E254" s="6"/>
    </row>
    <row r="255" customFormat="false" ht="15" hidden="false" customHeight="false" outlineLevel="0" collapsed="false">
      <c r="A255" s="13"/>
      <c r="B255" s="6"/>
      <c r="C255" s="14" t="str">
        <f aca="false">IF($B255="","",IFERROR(INDEX(Inventario!$B$5:$B$104,MATCH($B255,Inventario!$A$5:$A$104,0)),"⚠ código no existe"))</f>
        <v/>
      </c>
      <c r="D255" s="6"/>
      <c r="E255" s="6"/>
    </row>
    <row r="256" customFormat="false" ht="15" hidden="false" customHeight="false" outlineLevel="0" collapsed="false">
      <c r="A256" s="13"/>
      <c r="B256" s="6"/>
      <c r="C256" s="14" t="str">
        <f aca="false">IF($B256="","",IFERROR(INDEX(Inventario!$B$5:$B$104,MATCH($B256,Inventario!$A$5:$A$104,0)),"⚠ código no existe"))</f>
        <v/>
      </c>
      <c r="D256" s="6"/>
      <c r="E256" s="6"/>
    </row>
    <row r="257" customFormat="false" ht="15" hidden="false" customHeight="false" outlineLevel="0" collapsed="false">
      <c r="A257" s="13"/>
      <c r="B257" s="6"/>
      <c r="C257" s="14" t="str">
        <f aca="false">IF($B257="","",IFERROR(INDEX(Inventario!$B$5:$B$104,MATCH($B257,Inventario!$A$5:$A$104,0)),"⚠ código no existe"))</f>
        <v/>
      </c>
      <c r="D257" s="6"/>
      <c r="E257" s="6"/>
    </row>
    <row r="258" customFormat="false" ht="15" hidden="false" customHeight="false" outlineLevel="0" collapsed="false">
      <c r="A258" s="13"/>
      <c r="B258" s="6"/>
      <c r="C258" s="14" t="str">
        <f aca="false">IF($B258="","",IFERROR(INDEX(Inventario!$B$5:$B$104,MATCH($B258,Inventario!$A$5:$A$104,0)),"⚠ código no existe"))</f>
        <v/>
      </c>
      <c r="D258" s="6"/>
      <c r="E258" s="6"/>
    </row>
    <row r="259" customFormat="false" ht="15" hidden="false" customHeight="false" outlineLevel="0" collapsed="false">
      <c r="A259" s="13"/>
      <c r="B259" s="6"/>
      <c r="C259" s="14" t="str">
        <f aca="false">IF($B259="","",IFERROR(INDEX(Inventario!$B$5:$B$104,MATCH($B259,Inventario!$A$5:$A$104,0)),"⚠ código no existe"))</f>
        <v/>
      </c>
      <c r="D259" s="6"/>
      <c r="E259" s="6"/>
    </row>
    <row r="260" customFormat="false" ht="15" hidden="false" customHeight="false" outlineLevel="0" collapsed="false">
      <c r="A260" s="13"/>
      <c r="B260" s="6"/>
      <c r="C260" s="14" t="str">
        <f aca="false">IF($B260="","",IFERROR(INDEX(Inventario!$B$5:$B$104,MATCH($B260,Inventario!$A$5:$A$104,0)),"⚠ código no existe"))</f>
        <v/>
      </c>
      <c r="D260" s="6"/>
      <c r="E260" s="6"/>
    </row>
    <row r="261" customFormat="false" ht="15" hidden="false" customHeight="false" outlineLevel="0" collapsed="false">
      <c r="A261" s="13"/>
      <c r="B261" s="6"/>
      <c r="C261" s="14" t="str">
        <f aca="false">IF($B261="","",IFERROR(INDEX(Inventario!$B$5:$B$104,MATCH($B261,Inventario!$A$5:$A$104,0)),"⚠ código no existe"))</f>
        <v/>
      </c>
      <c r="D261" s="6"/>
      <c r="E261" s="6"/>
    </row>
    <row r="262" customFormat="false" ht="15" hidden="false" customHeight="false" outlineLevel="0" collapsed="false">
      <c r="A262" s="13"/>
      <c r="B262" s="6"/>
      <c r="C262" s="14" t="str">
        <f aca="false">IF($B262="","",IFERROR(INDEX(Inventario!$B$5:$B$104,MATCH($B262,Inventario!$A$5:$A$104,0)),"⚠ código no existe"))</f>
        <v/>
      </c>
      <c r="D262" s="6"/>
      <c r="E262" s="6"/>
    </row>
    <row r="263" customFormat="false" ht="15" hidden="false" customHeight="false" outlineLevel="0" collapsed="false">
      <c r="A263" s="13"/>
      <c r="B263" s="6"/>
      <c r="C263" s="14" t="str">
        <f aca="false">IF($B263="","",IFERROR(INDEX(Inventario!$B$5:$B$104,MATCH($B263,Inventario!$A$5:$A$104,0)),"⚠ código no existe"))</f>
        <v/>
      </c>
      <c r="D263" s="6"/>
      <c r="E263" s="6"/>
    </row>
    <row r="264" customFormat="false" ht="15" hidden="false" customHeight="false" outlineLevel="0" collapsed="false">
      <c r="A264" s="13"/>
      <c r="B264" s="6"/>
      <c r="C264" s="14" t="str">
        <f aca="false">IF($B264="","",IFERROR(INDEX(Inventario!$B$5:$B$104,MATCH($B264,Inventario!$A$5:$A$104,0)),"⚠ código no existe"))</f>
        <v/>
      </c>
      <c r="D264" s="6"/>
      <c r="E264" s="6"/>
    </row>
    <row r="265" customFormat="false" ht="15" hidden="false" customHeight="false" outlineLevel="0" collapsed="false">
      <c r="A265" s="13"/>
      <c r="B265" s="6"/>
      <c r="C265" s="14" t="str">
        <f aca="false">IF($B265="","",IFERROR(INDEX(Inventario!$B$5:$B$104,MATCH($B265,Inventario!$A$5:$A$104,0)),"⚠ código no existe"))</f>
        <v/>
      </c>
      <c r="D265" s="6"/>
      <c r="E265" s="6"/>
    </row>
    <row r="266" customFormat="false" ht="15" hidden="false" customHeight="false" outlineLevel="0" collapsed="false">
      <c r="A266" s="13"/>
      <c r="B266" s="6"/>
      <c r="C266" s="14" t="str">
        <f aca="false">IF($B266="","",IFERROR(INDEX(Inventario!$B$5:$B$104,MATCH($B266,Inventario!$A$5:$A$104,0)),"⚠ código no existe"))</f>
        <v/>
      </c>
      <c r="D266" s="6"/>
      <c r="E266" s="6"/>
    </row>
    <row r="267" customFormat="false" ht="15" hidden="false" customHeight="false" outlineLevel="0" collapsed="false">
      <c r="A267" s="13"/>
      <c r="B267" s="6"/>
      <c r="C267" s="14" t="str">
        <f aca="false">IF($B267="","",IFERROR(INDEX(Inventario!$B$5:$B$104,MATCH($B267,Inventario!$A$5:$A$104,0)),"⚠ código no existe"))</f>
        <v/>
      </c>
      <c r="D267" s="6"/>
      <c r="E267" s="6"/>
    </row>
    <row r="268" customFormat="false" ht="15" hidden="false" customHeight="false" outlineLevel="0" collapsed="false">
      <c r="A268" s="13"/>
      <c r="B268" s="6"/>
      <c r="C268" s="14" t="str">
        <f aca="false">IF($B268="","",IFERROR(INDEX(Inventario!$B$5:$B$104,MATCH($B268,Inventario!$A$5:$A$104,0)),"⚠ código no existe"))</f>
        <v/>
      </c>
      <c r="D268" s="6"/>
      <c r="E268" s="6"/>
    </row>
    <row r="269" customFormat="false" ht="15" hidden="false" customHeight="false" outlineLevel="0" collapsed="false">
      <c r="A269" s="13"/>
      <c r="B269" s="6"/>
      <c r="C269" s="14" t="str">
        <f aca="false">IF($B269="","",IFERROR(INDEX(Inventario!$B$5:$B$104,MATCH($B269,Inventario!$A$5:$A$104,0)),"⚠ código no existe"))</f>
        <v/>
      </c>
      <c r="D269" s="6"/>
      <c r="E269" s="6"/>
    </row>
    <row r="270" customFormat="false" ht="15" hidden="false" customHeight="false" outlineLevel="0" collapsed="false">
      <c r="A270" s="13"/>
      <c r="B270" s="6"/>
      <c r="C270" s="14" t="str">
        <f aca="false">IF($B270="","",IFERROR(INDEX(Inventario!$B$5:$B$104,MATCH($B270,Inventario!$A$5:$A$104,0)),"⚠ código no existe"))</f>
        <v/>
      </c>
      <c r="D270" s="6"/>
      <c r="E270" s="6"/>
    </row>
    <row r="271" customFormat="false" ht="15" hidden="false" customHeight="false" outlineLevel="0" collapsed="false">
      <c r="A271" s="13"/>
      <c r="B271" s="6"/>
      <c r="C271" s="14" t="str">
        <f aca="false">IF($B271="","",IFERROR(INDEX(Inventario!$B$5:$B$104,MATCH($B271,Inventario!$A$5:$A$104,0)),"⚠ código no existe"))</f>
        <v/>
      </c>
      <c r="D271" s="6"/>
      <c r="E271" s="6"/>
    </row>
    <row r="272" customFormat="false" ht="15" hidden="false" customHeight="false" outlineLevel="0" collapsed="false">
      <c r="A272" s="13"/>
      <c r="B272" s="6"/>
      <c r="C272" s="14" t="str">
        <f aca="false">IF($B272="","",IFERROR(INDEX(Inventario!$B$5:$B$104,MATCH($B272,Inventario!$A$5:$A$104,0)),"⚠ código no existe"))</f>
        <v/>
      </c>
      <c r="D272" s="6"/>
      <c r="E272" s="6"/>
    </row>
    <row r="273" customFormat="false" ht="15" hidden="false" customHeight="false" outlineLevel="0" collapsed="false">
      <c r="A273" s="13"/>
      <c r="B273" s="6"/>
      <c r="C273" s="14" t="str">
        <f aca="false">IF($B273="","",IFERROR(INDEX(Inventario!$B$5:$B$104,MATCH($B273,Inventario!$A$5:$A$104,0)),"⚠ código no existe"))</f>
        <v/>
      </c>
      <c r="D273" s="6"/>
      <c r="E273" s="6"/>
    </row>
    <row r="274" customFormat="false" ht="15" hidden="false" customHeight="false" outlineLevel="0" collapsed="false">
      <c r="A274" s="13"/>
      <c r="B274" s="6"/>
      <c r="C274" s="14" t="str">
        <f aca="false">IF($B274="","",IFERROR(INDEX(Inventario!$B$5:$B$104,MATCH($B274,Inventario!$A$5:$A$104,0)),"⚠ código no existe"))</f>
        <v/>
      </c>
      <c r="D274" s="6"/>
      <c r="E274" s="6"/>
    </row>
    <row r="275" customFormat="false" ht="15" hidden="false" customHeight="false" outlineLevel="0" collapsed="false">
      <c r="A275" s="13"/>
      <c r="B275" s="6"/>
      <c r="C275" s="14" t="str">
        <f aca="false">IF($B275="","",IFERROR(INDEX(Inventario!$B$5:$B$104,MATCH($B275,Inventario!$A$5:$A$104,0)),"⚠ código no existe"))</f>
        <v/>
      </c>
      <c r="D275" s="6"/>
      <c r="E275" s="6"/>
    </row>
    <row r="276" customFormat="false" ht="15" hidden="false" customHeight="false" outlineLevel="0" collapsed="false">
      <c r="A276" s="13"/>
      <c r="B276" s="6"/>
      <c r="C276" s="14" t="str">
        <f aca="false">IF($B276="","",IFERROR(INDEX(Inventario!$B$5:$B$104,MATCH($B276,Inventario!$A$5:$A$104,0)),"⚠ código no existe"))</f>
        <v/>
      </c>
      <c r="D276" s="6"/>
      <c r="E276" s="6"/>
    </row>
    <row r="277" customFormat="false" ht="15" hidden="false" customHeight="false" outlineLevel="0" collapsed="false">
      <c r="A277" s="13"/>
      <c r="B277" s="6"/>
      <c r="C277" s="14" t="str">
        <f aca="false">IF($B277="","",IFERROR(INDEX(Inventario!$B$5:$B$104,MATCH($B277,Inventario!$A$5:$A$104,0)),"⚠ código no existe"))</f>
        <v/>
      </c>
      <c r="D277" s="6"/>
      <c r="E277" s="6"/>
    </row>
    <row r="278" customFormat="false" ht="15" hidden="false" customHeight="false" outlineLevel="0" collapsed="false">
      <c r="A278" s="13"/>
      <c r="B278" s="6"/>
      <c r="C278" s="14" t="str">
        <f aca="false">IF($B278="","",IFERROR(INDEX(Inventario!$B$5:$B$104,MATCH($B278,Inventario!$A$5:$A$104,0)),"⚠ código no existe"))</f>
        <v/>
      </c>
      <c r="D278" s="6"/>
      <c r="E278" s="6"/>
    </row>
    <row r="279" customFormat="false" ht="15" hidden="false" customHeight="false" outlineLevel="0" collapsed="false">
      <c r="A279" s="13"/>
      <c r="B279" s="6"/>
      <c r="C279" s="14" t="str">
        <f aca="false">IF($B279="","",IFERROR(INDEX(Inventario!$B$5:$B$104,MATCH($B279,Inventario!$A$5:$A$104,0)),"⚠ código no existe"))</f>
        <v/>
      </c>
      <c r="D279" s="6"/>
      <c r="E279" s="6"/>
    </row>
    <row r="280" customFormat="false" ht="15" hidden="false" customHeight="false" outlineLevel="0" collapsed="false">
      <c r="A280" s="13"/>
      <c r="B280" s="6"/>
      <c r="C280" s="14" t="str">
        <f aca="false">IF($B280="","",IFERROR(INDEX(Inventario!$B$5:$B$104,MATCH($B280,Inventario!$A$5:$A$104,0)),"⚠ código no existe"))</f>
        <v/>
      </c>
      <c r="D280" s="6"/>
      <c r="E280" s="6"/>
    </row>
    <row r="281" customFormat="false" ht="15" hidden="false" customHeight="false" outlineLevel="0" collapsed="false">
      <c r="A281" s="13"/>
      <c r="B281" s="6"/>
      <c r="C281" s="14" t="str">
        <f aca="false">IF($B281="","",IFERROR(INDEX(Inventario!$B$5:$B$104,MATCH($B281,Inventario!$A$5:$A$104,0)),"⚠ código no existe"))</f>
        <v/>
      </c>
      <c r="D281" s="6"/>
      <c r="E281" s="6"/>
    </row>
    <row r="282" customFormat="false" ht="15" hidden="false" customHeight="false" outlineLevel="0" collapsed="false">
      <c r="A282" s="13"/>
      <c r="B282" s="6"/>
      <c r="C282" s="14" t="str">
        <f aca="false">IF($B282="","",IFERROR(INDEX(Inventario!$B$5:$B$104,MATCH($B282,Inventario!$A$5:$A$104,0)),"⚠ código no existe"))</f>
        <v/>
      </c>
      <c r="D282" s="6"/>
      <c r="E282" s="6"/>
    </row>
    <row r="283" customFormat="false" ht="15" hidden="false" customHeight="false" outlineLevel="0" collapsed="false">
      <c r="A283" s="13"/>
      <c r="B283" s="6"/>
      <c r="C283" s="14" t="str">
        <f aca="false">IF($B283="","",IFERROR(INDEX(Inventario!$B$5:$B$104,MATCH($B283,Inventario!$A$5:$A$104,0)),"⚠ código no existe"))</f>
        <v/>
      </c>
      <c r="D283" s="6"/>
      <c r="E283" s="6"/>
    </row>
    <row r="284" customFormat="false" ht="15" hidden="false" customHeight="false" outlineLevel="0" collapsed="false">
      <c r="A284" s="13"/>
      <c r="B284" s="6"/>
      <c r="C284" s="14" t="str">
        <f aca="false">IF($B284="","",IFERROR(INDEX(Inventario!$B$5:$B$104,MATCH($B284,Inventario!$A$5:$A$104,0)),"⚠ código no existe"))</f>
        <v/>
      </c>
      <c r="D284" s="6"/>
      <c r="E284" s="6"/>
    </row>
    <row r="285" customFormat="false" ht="15" hidden="false" customHeight="false" outlineLevel="0" collapsed="false">
      <c r="A285" s="13"/>
      <c r="B285" s="6"/>
      <c r="C285" s="14" t="str">
        <f aca="false">IF($B285="","",IFERROR(INDEX(Inventario!$B$5:$B$104,MATCH($B285,Inventario!$A$5:$A$104,0)),"⚠ código no existe"))</f>
        <v/>
      </c>
      <c r="D285" s="6"/>
      <c r="E285" s="6"/>
    </row>
    <row r="286" customFormat="false" ht="15" hidden="false" customHeight="false" outlineLevel="0" collapsed="false">
      <c r="A286" s="13"/>
      <c r="B286" s="6"/>
      <c r="C286" s="14" t="str">
        <f aca="false">IF($B286="","",IFERROR(INDEX(Inventario!$B$5:$B$104,MATCH($B286,Inventario!$A$5:$A$104,0)),"⚠ código no existe"))</f>
        <v/>
      </c>
      <c r="D286" s="6"/>
      <c r="E286" s="6"/>
    </row>
    <row r="287" customFormat="false" ht="15" hidden="false" customHeight="false" outlineLevel="0" collapsed="false">
      <c r="A287" s="13"/>
      <c r="B287" s="6"/>
      <c r="C287" s="14" t="str">
        <f aca="false">IF($B287="","",IFERROR(INDEX(Inventario!$B$5:$B$104,MATCH($B287,Inventario!$A$5:$A$104,0)),"⚠ código no existe"))</f>
        <v/>
      </c>
      <c r="D287" s="6"/>
      <c r="E287" s="6"/>
    </row>
    <row r="288" customFormat="false" ht="15" hidden="false" customHeight="false" outlineLevel="0" collapsed="false">
      <c r="A288" s="13"/>
      <c r="B288" s="6"/>
      <c r="C288" s="14" t="str">
        <f aca="false">IF($B288="","",IFERROR(INDEX(Inventario!$B$5:$B$104,MATCH($B288,Inventario!$A$5:$A$104,0)),"⚠ código no existe"))</f>
        <v/>
      </c>
      <c r="D288" s="6"/>
      <c r="E288" s="6"/>
    </row>
    <row r="289" customFormat="false" ht="15" hidden="false" customHeight="false" outlineLevel="0" collapsed="false">
      <c r="A289" s="13"/>
      <c r="B289" s="6"/>
      <c r="C289" s="14" t="str">
        <f aca="false">IF($B289="","",IFERROR(INDEX(Inventario!$B$5:$B$104,MATCH($B289,Inventario!$A$5:$A$104,0)),"⚠ código no existe"))</f>
        <v/>
      </c>
      <c r="D289" s="6"/>
      <c r="E289" s="6"/>
    </row>
    <row r="290" customFormat="false" ht="15" hidden="false" customHeight="false" outlineLevel="0" collapsed="false">
      <c r="A290" s="13"/>
      <c r="B290" s="6"/>
      <c r="C290" s="14" t="str">
        <f aca="false">IF($B290="","",IFERROR(INDEX(Inventario!$B$5:$B$104,MATCH($B290,Inventario!$A$5:$A$104,0)),"⚠ código no existe"))</f>
        <v/>
      </c>
      <c r="D290" s="6"/>
      <c r="E290" s="6"/>
    </row>
    <row r="291" customFormat="false" ht="15" hidden="false" customHeight="false" outlineLevel="0" collapsed="false">
      <c r="A291" s="13"/>
      <c r="B291" s="6"/>
      <c r="C291" s="14" t="str">
        <f aca="false">IF($B291="","",IFERROR(INDEX(Inventario!$B$5:$B$104,MATCH($B291,Inventario!$A$5:$A$104,0)),"⚠ código no existe"))</f>
        <v/>
      </c>
      <c r="D291" s="6"/>
      <c r="E291" s="6"/>
    </row>
    <row r="292" customFormat="false" ht="15" hidden="false" customHeight="false" outlineLevel="0" collapsed="false">
      <c r="A292" s="13"/>
      <c r="B292" s="6"/>
      <c r="C292" s="14" t="str">
        <f aca="false">IF($B292="","",IFERROR(INDEX(Inventario!$B$5:$B$104,MATCH($B292,Inventario!$A$5:$A$104,0)),"⚠ código no existe"))</f>
        <v/>
      </c>
      <c r="D292" s="6"/>
      <c r="E292" s="6"/>
    </row>
    <row r="293" customFormat="false" ht="15" hidden="false" customHeight="false" outlineLevel="0" collapsed="false">
      <c r="A293" s="13"/>
      <c r="B293" s="6"/>
      <c r="C293" s="14" t="str">
        <f aca="false">IF($B293="","",IFERROR(INDEX(Inventario!$B$5:$B$104,MATCH($B293,Inventario!$A$5:$A$104,0)),"⚠ código no existe"))</f>
        <v/>
      </c>
      <c r="D293" s="6"/>
      <c r="E293" s="6"/>
    </row>
    <row r="294" customFormat="false" ht="15" hidden="false" customHeight="false" outlineLevel="0" collapsed="false">
      <c r="A294" s="13"/>
      <c r="B294" s="6"/>
      <c r="C294" s="14" t="str">
        <f aca="false">IF($B294="","",IFERROR(INDEX(Inventario!$B$5:$B$104,MATCH($B294,Inventario!$A$5:$A$104,0)),"⚠ código no existe"))</f>
        <v/>
      </c>
      <c r="D294" s="6"/>
      <c r="E294" s="6"/>
    </row>
    <row r="295" customFormat="false" ht="15" hidden="false" customHeight="false" outlineLevel="0" collapsed="false">
      <c r="A295" s="13"/>
      <c r="B295" s="6"/>
      <c r="C295" s="14" t="str">
        <f aca="false">IF($B295="","",IFERROR(INDEX(Inventario!$B$5:$B$104,MATCH($B295,Inventario!$A$5:$A$104,0)),"⚠ código no existe"))</f>
        <v/>
      </c>
      <c r="D295" s="6"/>
      <c r="E295" s="6"/>
    </row>
    <row r="296" customFormat="false" ht="15" hidden="false" customHeight="false" outlineLevel="0" collapsed="false">
      <c r="A296" s="13"/>
      <c r="B296" s="6"/>
      <c r="C296" s="14" t="str">
        <f aca="false">IF($B296="","",IFERROR(INDEX(Inventario!$B$5:$B$104,MATCH($B296,Inventario!$A$5:$A$104,0)),"⚠ código no existe"))</f>
        <v/>
      </c>
      <c r="D296" s="6"/>
      <c r="E296" s="6"/>
    </row>
    <row r="297" customFormat="false" ht="15" hidden="false" customHeight="false" outlineLevel="0" collapsed="false">
      <c r="A297" s="13"/>
      <c r="B297" s="6"/>
      <c r="C297" s="14" t="str">
        <f aca="false">IF($B297="","",IFERROR(INDEX(Inventario!$B$5:$B$104,MATCH($B297,Inventario!$A$5:$A$104,0)),"⚠ código no existe"))</f>
        <v/>
      </c>
      <c r="D297" s="6"/>
      <c r="E297" s="6"/>
    </row>
    <row r="298" customFormat="false" ht="15" hidden="false" customHeight="false" outlineLevel="0" collapsed="false">
      <c r="A298" s="13"/>
      <c r="B298" s="6"/>
      <c r="C298" s="14" t="str">
        <f aca="false">IF($B298="","",IFERROR(INDEX(Inventario!$B$5:$B$104,MATCH($B298,Inventario!$A$5:$A$104,0)),"⚠ código no existe"))</f>
        <v/>
      </c>
      <c r="D298" s="6"/>
      <c r="E298" s="6"/>
    </row>
    <row r="299" customFormat="false" ht="15" hidden="false" customHeight="false" outlineLevel="0" collapsed="false">
      <c r="A299" s="13"/>
      <c r="B299" s="6"/>
      <c r="C299" s="14" t="str">
        <f aca="false">IF($B299="","",IFERROR(INDEX(Inventario!$B$5:$B$104,MATCH($B299,Inventario!$A$5:$A$104,0)),"⚠ código no existe"))</f>
        <v/>
      </c>
      <c r="D299" s="6"/>
      <c r="E299" s="6"/>
    </row>
    <row r="300" customFormat="false" ht="15" hidden="false" customHeight="false" outlineLevel="0" collapsed="false">
      <c r="A300" s="13"/>
      <c r="B300" s="6"/>
      <c r="C300" s="14" t="str">
        <f aca="false">IF($B300="","",IFERROR(INDEX(Inventario!$B$5:$B$104,MATCH($B300,Inventario!$A$5:$A$104,0)),"⚠ código no existe"))</f>
        <v/>
      </c>
      <c r="D300" s="6"/>
      <c r="E300" s="6"/>
    </row>
    <row r="301" customFormat="false" ht="15" hidden="false" customHeight="false" outlineLevel="0" collapsed="false">
      <c r="A301" s="13"/>
      <c r="B301" s="6"/>
      <c r="C301" s="14" t="str">
        <f aca="false">IF($B301="","",IFERROR(INDEX(Inventario!$B$5:$B$104,MATCH($B301,Inventario!$A$5:$A$104,0)),"⚠ código no existe"))</f>
        <v/>
      </c>
      <c r="D301" s="6"/>
      <c r="E301" s="6"/>
    </row>
    <row r="302" customFormat="false" ht="15" hidden="false" customHeight="false" outlineLevel="0" collapsed="false">
      <c r="A302" s="13"/>
      <c r="B302" s="6"/>
      <c r="C302" s="14" t="str">
        <f aca="false">IF($B302="","",IFERROR(INDEX(Inventario!$B$5:$B$104,MATCH($B302,Inventario!$A$5:$A$104,0)),"⚠ código no existe"))</f>
        <v/>
      </c>
      <c r="D302" s="6"/>
      <c r="E302" s="6"/>
    </row>
    <row r="303" customFormat="false" ht="15" hidden="false" customHeight="false" outlineLevel="0" collapsed="false">
      <c r="A303" s="13"/>
      <c r="B303" s="6"/>
      <c r="C303" s="14" t="str">
        <f aca="false">IF($B303="","",IFERROR(INDEX(Inventario!$B$5:$B$104,MATCH($B303,Inventario!$A$5:$A$104,0)),"⚠ código no existe"))</f>
        <v/>
      </c>
      <c r="D303" s="6"/>
      <c r="E303" s="6"/>
    </row>
    <row r="304" customFormat="false" ht="15" hidden="false" customHeight="false" outlineLevel="0" collapsed="false">
      <c r="A304" s="13"/>
      <c r="B304" s="6"/>
      <c r="C304" s="14" t="str">
        <f aca="false">IF($B304="","",IFERROR(INDEX(Inventario!$B$5:$B$104,MATCH($B304,Inventario!$A$5:$A$104,0)),"⚠ código no existe"))</f>
        <v/>
      </c>
      <c r="D304" s="6"/>
      <c r="E304" s="6"/>
    </row>
    <row r="305" customFormat="false" ht="15" hidden="false" customHeight="false" outlineLevel="0" collapsed="false">
      <c r="A305" s="13"/>
      <c r="B305" s="6"/>
      <c r="C305" s="14" t="str">
        <f aca="false">IF($B305="","",IFERROR(INDEX(Inventario!$B$5:$B$104,MATCH($B305,Inventario!$A$5:$A$104,0)),"⚠ código no existe"))</f>
        <v/>
      </c>
      <c r="D305" s="6"/>
      <c r="E305" s="6"/>
    </row>
    <row r="306" customFormat="false" ht="15" hidden="false" customHeight="false" outlineLevel="0" collapsed="false">
      <c r="A306" s="13"/>
      <c r="B306" s="6"/>
      <c r="C306" s="14" t="str">
        <f aca="false">IF($B306="","",IFERROR(INDEX(Inventario!$B$5:$B$104,MATCH($B306,Inventario!$A$5:$A$104,0)),"⚠ código no existe"))</f>
        <v/>
      </c>
      <c r="D306" s="6"/>
      <c r="E306" s="6"/>
    </row>
    <row r="307" customFormat="false" ht="15" hidden="false" customHeight="false" outlineLevel="0" collapsed="false">
      <c r="A307" s="13"/>
      <c r="B307" s="6"/>
      <c r="C307" s="14" t="str">
        <f aca="false">IF($B307="","",IFERROR(INDEX(Inventario!$B$5:$B$104,MATCH($B307,Inventario!$A$5:$A$104,0)),"⚠ código no existe"))</f>
        <v/>
      </c>
      <c r="D307" s="6"/>
      <c r="E307" s="6"/>
    </row>
    <row r="308" customFormat="false" ht="15" hidden="false" customHeight="false" outlineLevel="0" collapsed="false">
      <c r="A308" s="13"/>
      <c r="B308" s="6"/>
      <c r="C308" s="14" t="str">
        <f aca="false">IF($B308="","",IFERROR(INDEX(Inventario!$B$5:$B$104,MATCH($B308,Inventario!$A$5:$A$104,0)),"⚠ código no existe"))</f>
        <v/>
      </c>
      <c r="D308" s="6"/>
      <c r="E308" s="6"/>
    </row>
    <row r="309" customFormat="false" ht="15" hidden="false" customHeight="false" outlineLevel="0" collapsed="false">
      <c r="A309" s="13"/>
      <c r="B309" s="6"/>
      <c r="C309" s="14" t="str">
        <f aca="false">IF($B309="","",IFERROR(INDEX(Inventario!$B$5:$B$104,MATCH($B309,Inventario!$A$5:$A$104,0)),"⚠ código no existe"))</f>
        <v/>
      </c>
      <c r="D309" s="6"/>
      <c r="E309" s="6"/>
    </row>
    <row r="310" customFormat="false" ht="15" hidden="false" customHeight="false" outlineLevel="0" collapsed="false">
      <c r="A310" s="13"/>
      <c r="B310" s="6"/>
      <c r="C310" s="14" t="str">
        <f aca="false">IF($B310="","",IFERROR(INDEX(Inventario!$B$5:$B$104,MATCH($B310,Inventario!$A$5:$A$104,0)),"⚠ código no existe"))</f>
        <v/>
      </c>
      <c r="D310" s="6"/>
      <c r="E310" s="6"/>
    </row>
    <row r="311" customFormat="false" ht="15" hidden="false" customHeight="false" outlineLevel="0" collapsed="false">
      <c r="A311" s="13"/>
      <c r="B311" s="6"/>
      <c r="C311" s="14" t="str">
        <f aca="false">IF($B311="","",IFERROR(INDEX(Inventario!$B$5:$B$104,MATCH($B311,Inventario!$A$5:$A$104,0)),"⚠ código no existe"))</f>
        <v/>
      </c>
      <c r="D311" s="6"/>
      <c r="E311" s="6"/>
    </row>
    <row r="312" customFormat="false" ht="15" hidden="false" customHeight="false" outlineLevel="0" collapsed="false">
      <c r="A312" s="13"/>
      <c r="B312" s="6"/>
      <c r="C312" s="14" t="str">
        <f aca="false">IF($B312="","",IFERROR(INDEX(Inventario!$B$5:$B$104,MATCH($B312,Inventario!$A$5:$A$104,0)),"⚠ código no existe"))</f>
        <v/>
      </c>
      <c r="D312" s="6"/>
      <c r="E312" s="6"/>
    </row>
    <row r="313" customFormat="false" ht="15" hidden="false" customHeight="false" outlineLevel="0" collapsed="false">
      <c r="A313" s="13"/>
      <c r="B313" s="6"/>
      <c r="C313" s="14" t="str">
        <f aca="false">IF($B313="","",IFERROR(INDEX(Inventario!$B$5:$B$104,MATCH($B313,Inventario!$A$5:$A$104,0)),"⚠ código no existe"))</f>
        <v/>
      </c>
      <c r="D313" s="6"/>
      <c r="E313" s="6"/>
    </row>
    <row r="314" customFormat="false" ht="15" hidden="false" customHeight="false" outlineLevel="0" collapsed="false">
      <c r="A314" s="13"/>
      <c r="B314" s="6"/>
      <c r="C314" s="14" t="str">
        <f aca="false">IF($B314="","",IFERROR(INDEX(Inventario!$B$5:$B$104,MATCH($B314,Inventario!$A$5:$A$104,0)),"⚠ código no existe"))</f>
        <v/>
      </c>
      <c r="D314" s="6"/>
      <c r="E314" s="6"/>
    </row>
    <row r="315" customFormat="false" ht="15" hidden="false" customHeight="false" outlineLevel="0" collapsed="false">
      <c r="A315" s="13"/>
      <c r="B315" s="6"/>
      <c r="C315" s="14" t="str">
        <f aca="false">IF($B315="","",IFERROR(INDEX(Inventario!$B$5:$B$104,MATCH($B315,Inventario!$A$5:$A$104,0)),"⚠ código no existe"))</f>
        <v/>
      </c>
      <c r="D315" s="6"/>
      <c r="E315" s="6"/>
    </row>
    <row r="316" customFormat="false" ht="15" hidden="false" customHeight="false" outlineLevel="0" collapsed="false">
      <c r="A316" s="13"/>
      <c r="B316" s="6"/>
      <c r="C316" s="14" t="str">
        <f aca="false">IF($B316="","",IFERROR(INDEX(Inventario!$B$5:$B$104,MATCH($B316,Inventario!$A$5:$A$104,0)),"⚠ código no existe"))</f>
        <v/>
      </c>
      <c r="D316" s="6"/>
      <c r="E316" s="6"/>
    </row>
    <row r="317" customFormat="false" ht="15" hidden="false" customHeight="false" outlineLevel="0" collapsed="false">
      <c r="A317" s="13"/>
      <c r="B317" s="6"/>
      <c r="C317" s="14" t="str">
        <f aca="false">IF($B317="","",IFERROR(INDEX(Inventario!$B$5:$B$104,MATCH($B317,Inventario!$A$5:$A$104,0)),"⚠ código no existe"))</f>
        <v/>
      </c>
      <c r="D317" s="6"/>
      <c r="E317" s="6"/>
    </row>
    <row r="318" customFormat="false" ht="15" hidden="false" customHeight="false" outlineLevel="0" collapsed="false">
      <c r="A318" s="13"/>
      <c r="B318" s="6"/>
      <c r="C318" s="14" t="str">
        <f aca="false">IF($B318="","",IFERROR(INDEX(Inventario!$B$5:$B$104,MATCH($B318,Inventario!$A$5:$A$104,0)),"⚠ código no existe"))</f>
        <v/>
      </c>
      <c r="D318" s="6"/>
      <c r="E318" s="6"/>
    </row>
    <row r="319" customFormat="false" ht="15" hidden="false" customHeight="false" outlineLevel="0" collapsed="false">
      <c r="A319" s="13"/>
      <c r="B319" s="6"/>
      <c r="C319" s="14" t="str">
        <f aca="false">IF($B319="","",IFERROR(INDEX(Inventario!$B$5:$B$104,MATCH($B319,Inventario!$A$5:$A$104,0)),"⚠ código no existe"))</f>
        <v/>
      </c>
      <c r="D319" s="6"/>
      <c r="E319" s="6"/>
    </row>
    <row r="320" customFormat="false" ht="15" hidden="false" customHeight="false" outlineLevel="0" collapsed="false">
      <c r="A320" s="13"/>
      <c r="B320" s="6"/>
      <c r="C320" s="14" t="str">
        <f aca="false">IF($B320="","",IFERROR(INDEX(Inventario!$B$5:$B$104,MATCH($B320,Inventario!$A$5:$A$104,0)),"⚠ código no existe"))</f>
        <v/>
      </c>
      <c r="D320" s="6"/>
      <c r="E320" s="6"/>
    </row>
    <row r="321" customFormat="false" ht="15" hidden="false" customHeight="false" outlineLevel="0" collapsed="false">
      <c r="A321" s="13"/>
      <c r="B321" s="6"/>
      <c r="C321" s="14" t="str">
        <f aca="false">IF($B321="","",IFERROR(INDEX(Inventario!$B$5:$B$104,MATCH($B321,Inventario!$A$5:$A$104,0)),"⚠ código no existe"))</f>
        <v/>
      </c>
      <c r="D321" s="6"/>
      <c r="E321" s="6"/>
    </row>
    <row r="322" customFormat="false" ht="15" hidden="false" customHeight="false" outlineLevel="0" collapsed="false">
      <c r="A322" s="13"/>
      <c r="B322" s="6"/>
      <c r="C322" s="14" t="str">
        <f aca="false">IF($B322="","",IFERROR(INDEX(Inventario!$B$5:$B$104,MATCH($B322,Inventario!$A$5:$A$104,0)),"⚠ código no existe"))</f>
        <v/>
      </c>
      <c r="D322" s="6"/>
      <c r="E322" s="6"/>
    </row>
    <row r="323" customFormat="false" ht="15" hidden="false" customHeight="false" outlineLevel="0" collapsed="false">
      <c r="A323" s="13"/>
      <c r="B323" s="6"/>
      <c r="C323" s="14" t="str">
        <f aca="false">IF($B323="","",IFERROR(INDEX(Inventario!$B$5:$B$104,MATCH($B323,Inventario!$A$5:$A$104,0)),"⚠ código no existe"))</f>
        <v/>
      </c>
      <c r="D323" s="6"/>
      <c r="E323" s="6"/>
    </row>
    <row r="324" customFormat="false" ht="15" hidden="false" customHeight="false" outlineLevel="0" collapsed="false">
      <c r="A324" s="13"/>
      <c r="B324" s="6"/>
      <c r="C324" s="14" t="str">
        <f aca="false">IF($B324="","",IFERROR(INDEX(Inventario!$B$5:$B$104,MATCH($B324,Inventario!$A$5:$A$104,0)),"⚠ código no existe"))</f>
        <v/>
      </c>
      <c r="D324" s="6"/>
      <c r="E324" s="6"/>
    </row>
    <row r="325" customFormat="false" ht="15" hidden="false" customHeight="false" outlineLevel="0" collapsed="false">
      <c r="A325" s="13"/>
      <c r="B325" s="6"/>
      <c r="C325" s="14" t="str">
        <f aca="false">IF($B325="","",IFERROR(INDEX(Inventario!$B$5:$B$104,MATCH($B325,Inventario!$A$5:$A$104,0)),"⚠ código no existe"))</f>
        <v/>
      </c>
      <c r="D325" s="6"/>
      <c r="E325" s="6"/>
    </row>
    <row r="326" customFormat="false" ht="15" hidden="false" customHeight="false" outlineLevel="0" collapsed="false">
      <c r="A326" s="13"/>
      <c r="B326" s="6"/>
      <c r="C326" s="14" t="str">
        <f aca="false">IF($B326="","",IFERROR(INDEX(Inventario!$B$5:$B$104,MATCH($B326,Inventario!$A$5:$A$104,0)),"⚠ código no existe"))</f>
        <v/>
      </c>
      <c r="D326" s="6"/>
      <c r="E326" s="6"/>
    </row>
    <row r="327" customFormat="false" ht="15" hidden="false" customHeight="false" outlineLevel="0" collapsed="false">
      <c r="A327" s="13"/>
      <c r="B327" s="6"/>
      <c r="C327" s="14" t="str">
        <f aca="false">IF($B327="","",IFERROR(INDEX(Inventario!$B$5:$B$104,MATCH($B327,Inventario!$A$5:$A$104,0)),"⚠ código no existe"))</f>
        <v/>
      </c>
      <c r="D327" s="6"/>
      <c r="E327" s="6"/>
    </row>
    <row r="328" customFormat="false" ht="15" hidden="false" customHeight="false" outlineLevel="0" collapsed="false">
      <c r="A328" s="13"/>
      <c r="B328" s="6"/>
      <c r="C328" s="14" t="str">
        <f aca="false">IF($B328="","",IFERROR(INDEX(Inventario!$B$5:$B$104,MATCH($B328,Inventario!$A$5:$A$104,0)),"⚠ código no existe"))</f>
        <v/>
      </c>
      <c r="D328" s="6"/>
      <c r="E328" s="6"/>
    </row>
    <row r="329" customFormat="false" ht="15" hidden="false" customHeight="false" outlineLevel="0" collapsed="false">
      <c r="A329" s="13"/>
      <c r="B329" s="6"/>
      <c r="C329" s="14" t="str">
        <f aca="false">IF($B329="","",IFERROR(INDEX(Inventario!$B$5:$B$104,MATCH($B329,Inventario!$A$5:$A$104,0)),"⚠ código no existe"))</f>
        <v/>
      </c>
      <c r="D329" s="6"/>
      <c r="E329" s="6"/>
    </row>
    <row r="330" customFormat="false" ht="15" hidden="false" customHeight="false" outlineLevel="0" collapsed="false">
      <c r="A330" s="13"/>
      <c r="B330" s="6"/>
      <c r="C330" s="14" t="str">
        <f aca="false">IF($B330="","",IFERROR(INDEX(Inventario!$B$5:$B$104,MATCH($B330,Inventario!$A$5:$A$104,0)),"⚠ código no existe"))</f>
        <v/>
      </c>
      <c r="D330" s="6"/>
      <c r="E330" s="6"/>
    </row>
    <row r="331" customFormat="false" ht="15" hidden="false" customHeight="false" outlineLevel="0" collapsed="false">
      <c r="A331" s="13"/>
      <c r="B331" s="6"/>
      <c r="C331" s="14" t="str">
        <f aca="false">IF($B331="","",IFERROR(INDEX(Inventario!$B$5:$B$104,MATCH($B331,Inventario!$A$5:$A$104,0)),"⚠ código no existe"))</f>
        <v/>
      </c>
      <c r="D331" s="6"/>
      <c r="E331" s="6"/>
    </row>
    <row r="332" customFormat="false" ht="15" hidden="false" customHeight="false" outlineLevel="0" collapsed="false">
      <c r="A332" s="13"/>
      <c r="B332" s="6"/>
      <c r="C332" s="14" t="str">
        <f aca="false">IF($B332="","",IFERROR(INDEX(Inventario!$B$5:$B$104,MATCH($B332,Inventario!$A$5:$A$104,0)),"⚠ código no existe"))</f>
        <v/>
      </c>
      <c r="D332" s="6"/>
      <c r="E332" s="6"/>
    </row>
    <row r="333" customFormat="false" ht="15" hidden="false" customHeight="false" outlineLevel="0" collapsed="false">
      <c r="A333" s="13"/>
      <c r="B333" s="6"/>
      <c r="C333" s="14" t="str">
        <f aca="false">IF($B333="","",IFERROR(INDEX(Inventario!$B$5:$B$104,MATCH($B333,Inventario!$A$5:$A$104,0)),"⚠ código no existe"))</f>
        <v/>
      </c>
      <c r="D333" s="6"/>
      <c r="E333" s="6"/>
    </row>
    <row r="334" customFormat="false" ht="15" hidden="false" customHeight="false" outlineLevel="0" collapsed="false">
      <c r="A334" s="13"/>
      <c r="B334" s="6"/>
      <c r="C334" s="14" t="str">
        <f aca="false">IF($B334="","",IFERROR(INDEX(Inventario!$B$5:$B$104,MATCH($B334,Inventario!$A$5:$A$104,0)),"⚠ código no existe"))</f>
        <v/>
      </c>
      <c r="D334" s="6"/>
      <c r="E334" s="6"/>
    </row>
    <row r="335" customFormat="false" ht="15" hidden="false" customHeight="false" outlineLevel="0" collapsed="false">
      <c r="A335" s="13"/>
      <c r="B335" s="6"/>
      <c r="C335" s="14" t="str">
        <f aca="false">IF($B335="","",IFERROR(INDEX(Inventario!$B$5:$B$104,MATCH($B335,Inventario!$A$5:$A$104,0)),"⚠ código no existe"))</f>
        <v/>
      </c>
      <c r="D335" s="6"/>
      <c r="E335" s="6"/>
    </row>
    <row r="336" customFormat="false" ht="15" hidden="false" customHeight="false" outlineLevel="0" collapsed="false">
      <c r="A336" s="13"/>
      <c r="B336" s="6"/>
      <c r="C336" s="14" t="str">
        <f aca="false">IF($B336="","",IFERROR(INDEX(Inventario!$B$5:$B$104,MATCH($B336,Inventario!$A$5:$A$104,0)),"⚠ código no existe"))</f>
        <v/>
      </c>
      <c r="D336" s="6"/>
      <c r="E336" s="6"/>
    </row>
    <row r="337" customFormat="false" ht="15" hidden="false" customHeight="false" outlineLevel="0" collapsed="false">
      <c r="A337" s="13"/>
      <c r="B337" s="6"/>
      <c r="C337" s="14" t="str">
        <f aca="false">IF($B337="","",IFERROR(INDEX(Inventario!$B$5:$B$104,MATCH($B337,Inventario!$A$5:$A$104,0)),"⚠ código no existe"))</f>
        <v/>
      </c>
      <c r="D337" s="6"/>
      <c r="E337" s="6"/>
    </row>
    <row r="338" customFormat="false" ht="15" hidden="false" customHeight="false" outlineLevel="0" collapsed="false">
      <c r="A338" s="13"/>
      <c r="B338" s="6"/>
      <c r="C338" s="14" t="str">
        <f aca="false">IF($B338="","",IFERROR(INDEX(Inventario!$B$5:$B$104,MATCH($B338,Inventario!$A$5:$A$104,0)),"⚠ código no existe"))</f>
        <v/>
      </c>
      <c r="D338" s="6"/>
      <c r="E338" s="6"/>
    </row>
    <row r="339" customFormat="false" ht="15" hidden="false" customHeight="false" outlineLevel="0" collapsed="false">
      <c r="A339" s="13"/>
      <c r="B339" s="6"/>
      <c r="C339" s="14" t="str">
        <f aca="false">IF($B339="","",IFERROR(INDEX(Inventario!$B$5:$B$104,MATCH($B339,Inventario!$A$5:$A$104,0)),"⚠ código no existe"))</f>
        <v/>
      </c>
      <c r="D339" s="6"/>
      <c r="E339" s="6"/>
    </row>
    <row r="340" customFormat="false" ht="15" hidden="false" customHeight="false" outlineLevel="0" collapsed="false">
      <c r="A340" s="13"/>
      <c r="B340" s="6"/>
      <c r="C340" s="14" t="str">
        <f aca="false">IF($B340="","",IFERROR(INDEX(Inventario!$B$5:$B$104,MATCH($B340,Inventario!$A$5:$A$104,0)),"⚠ código no existe"))</f>
        <v/>
      </c>
      <c r="D340" s="6"/>
      <c r="E340" s="6"/>
    </row>
    <row r="341" customFormat="false" ht="15" hidden="false" customHeight="false" outlineLevel="0" collapsed="false">
      <c r="A341" s="13"/>
      <c r="B341" s="6"/>
      <c r="C341" s="14" t="str">
        <f aca="false">IF($B341="","",IFERROR(INDEX(Inventario!$B$5:$B$104,MATCH($B341,Inventario!$A$5:$A$104,0)),"⚠ código no existe"))</f>
        <v/>
      </c>
      <c r="D341" s="6"/>
      <c r="E341" s="6"/>
    </row>
    <row r="342" customFormat="false" ht="15" hidden="false" customHeight="false" outlineLevel="0" collapsed="false">
      <c r="A342" s="13"/>
      <c r="B342" s="6"/>
      <c r="C342" s="14" t="str">
        <f aca="false">IF($B342="","",IFERROR(INDEX(Inventario!$B$5:$B$104,MATCH($B342,Inventario!$A$5:$A$104,0)),"⚠ código no existe"))</f>
        <v/>
      </c>
      <c r="D342" s="6"/>
      <c r="E342" s="6"/>
    </row>
    <row r="343" customFormat="false" ht="15" hidden="false" customHeight="false" outlineLevel="0" collapsed="false">
      <c r="A343" s="13"/>
      <c r="B343" s="6"/>
      <c r="C343" s="14" t="str">
        <f aca="false">IF($B343="","",IFERROR(INDEX(Inventario!$B$5:$B$104,MATCH($B343,Inventario!$A$5:$A$104,0)),"⚠ código no existe"))</f>
        <v/>
      </c>
      <c r="D343" s="6"/>
      <c r="E343" s="6"/>
    </row>
    <row r="344" customFormat="false" ht="15" hidden="false" customHeight="false" outlineLevel="0" collapsed="false">
      <c r="A344" s="13"/>
      <c r="B344" s="6"/>
      <c r="C344" s="14" t="str">
        <f aca="false">IF($B344="","",IFERROR(INDEX(Inventario!$B$5:$B$104,MATCH($B344,Inventario!$A$5:$A$104,0)),"⚠ código no existe"))</f>
        <v/>
      </c>
      <c r="D344" s="6"/>
      <c r="E344" s="6"/>
    </row>
    <row r="345" customFormat="false" ht="15" hidden="false" customHeight="false" outlineLevel="0" collapsed="false">
      <c r="A345" s="13"/>
      <c r="B345" s="6"/>
      <c r="C345" s="14" t="str">
        <f aca="false">IF($B345="","",IFERROR(INDEX(Inventario!$B$5:$B$104,MATCH($B345,Inventario!$A$5:$A$104,0)),"⚠ código no existe"))</f>
        <v/>
      </c>
      <c r="D345" s="6"/>
      <c r="E345" s="6"/>
    </row>
    <row r="346" customFormat="false" ht="15" hidden="false" customHeight="false" outlineLevel="0" collapsed="false">
      <c r="A346" s="13"/>
      <c r="B346" s="6"/>
      <c r="C346" s="14" t="str">
        <f aca="false">IF($B346="","",IFERROR(INDEX(Inventario!$B$5:$B$104,MATCH($B346,Inventario!$A$5:$A$104,0)),"⚠ código no existe"))</f>
        <v/>
      </c>
      <c r="D346" s="6"/>
      <c r="E346" s="6"/>
    </row>
    <row r="347" customFormat="false" ht="15" hidden="false" customHeight="false" outlineLevel="0" collapsed="false">
      <c r="A347" s="13"/>
      <c r="B347" s="6"/>
      <c r="C347" s="14" t="str">
        <f aca="false">IF($B347="","",IFERROR(INDEX(Inventario!$B$5:$B$104,MATCH($B347,Inventario!$A$5:$A$104,0)),"⚠ código no existe"))</f>
        <v/>
      </c>
      <c r="D347" s="6"/>
      <c r="E347" s="6"/>
    </row>
    <row r="348" customFormat="false" ht="15" hidden="false" customHeight="false" outlineLevel="0" collapsed="false">
      <c r="A348" s="13"/>
      <c r="B348" s="6"/>
      <c r="C348" s="14" t="str">
        <f aca="false">IF($B348="","",IFERROR(INDEX(Inventario!$B$5:$B$104,MATCH($B348,Inventario!$A$5:$A$104,0)),"⚠ código no existe"))</f>
        <v/>
      </c>
      <c r="D348" s="6"/>
      <c r="E348" s="6"/>
    </row>
    <row r="349" customFormat="false" ht="15" hidden="false" customHeight="false" outlineLevel="0" collapsed="false">
      <c r="A349" s="13"/>
      <c r="B349" s="6"/>
      <c r="C349" s="14" t="str">
        <f aca="false">IF($B349="","",IFERROR(INDEX(Inventario!$B$5:$B$104,MATCH($B349,Inventario!$A$5:$A$104,0)),"⚠ código no existe"))</f>
        <v/>
      </c>
      <c r="D349" s="6"/>
      <c r="E349" s="6"/>
    </row>
    <row r="350" customFormat="false" ht="15" hidden="false" customHeight="false" outlineLevel="0" collapsed="false">
      <c r="A350" s="13"/>
      <c r="B350" s="6"/>
      <c r="C350" s="14" t="str">
        <f aca="false">IF($B350="","",IFERROR(INDEX(Inventario!$B$5:$B$104,MATCH($B350,Inventario!$A$5:$A$104,0)),"⚠ código no existe"))</f>
        <v/>
      </c>
      <c r="D350" s="6"/>
      <c r="E350" s="6"/>
    </row>
    <row r="351" customFormat="false" ht="15" hidden="false" customHeight="false" outlineLevel="0" collapsed="false">
      <c r="A351" s="13"/>
      <c r="B351" s="6"/>
      <c r="C351" s="14" t="str">
        <f aca="false">IF($B351="","",IFERROR(INDEX(Inventario!$B$5:$B$104,MATCH($B351,Inventario!$A$5:$A$104,0)),"⚠ código no existe"))</f>
        <v/>
      </c>
      <c r="D351" s="6"/>
      <c r="E351" s="6"/>
    </row>
    <row r="352" customFormat="false" ht="15" hidden="false" customHeight="false" outlineLevel="0" collapsed="false">
      <c r="A352" s="13"/>
      <c r="B352" s="6"/>
      <c r="C352" s="14" t="str">
        <f aca="false">IF($B352="","",IFERROR(INDEX(Inventario!$B$5:$B$104,MATCH($B352,Inventario!$A$5:$A$104,0)),"⚠ código no existe"))</f>
        <v/>
      </c>
      <c r="D352" s="6"/>
      <c r="E352" s="6"/>
    </row>
    <row r="353" customFormat="false" ht="15" hidden="false" customHeight="false" outlineLevel="0" collapsed="false">
      <c r="A353" s="13"/>
      <c r="B353" s="6"/>
      <c r="C353" s="14" t="str">
        <f aca="false">IF($B353="","",IFERROR(INDEX(Inventario!$B$5:$B$104,MATCH($B353,Inventario!$A$5:$A$104,0)),"⚠ código no existe"))</f>
        <v/>
      </c>
      <c r="D353" s="6"/>
      <c r="E353" s="6"/>
    </row>
    <row r="354" customFormat="false" ht="15" hidden="false" customHeight="false" outlineLevel="0" collapsed="false">
      <c r="A354" s="13"/>
      <c r="B354" s="6"/>
      <c r="C354" s="14" t="str">
        <f aca="false">IF($B354="","",IFERROR(INDEX(Inventario!$B$5:$B$104,MATCH($B354,Inventario!$A$5:$A$104,0)),"⚠ código no existe"))</f>
        <v/>
      </c>
      <c r="D354" s="6"/>
      <c r="E354" s="6"/>
    </row>
    <row r="355" customFormat="false" ht="15" hidden="false" customHeight="false" outlineLevel="0" collapsed="false">
      <c r="A355" s="13"/>
      <c r="B355" s="6"/>
      <c r="C355" s="14" t="str">
        <f aca="false">IF($B355="","",IFERROR(INDEX(Inventario!$B$5:$B$104,MATCH($B355,Inventario!$A$5:$A$104,0)),"⚠ código no existe"))</f>
        <v/>
      </c>
      <c r="D355" s="6"/>
      <c r="E355" s="6"/>
    </row>
    <row r="356" customFormat="false" ht="15" hidden="false" customHeight="false" outlineLevel="0" collapsed="false">
      <c r="A356" s="13"/>
      <c r="B356" s="6"/>
      <c r="C356" s="14" t="str">
        <f aca="false">IF($B356="","",IFERROR(INDEX(Inventario!$B$5:$B$104,MATCH($B356,Inventario!$A$5:$A$104,0)),"⚠ código no existe"))</f>
        <v/>
      </c>
      <c r="D356" s="6"/>
      <c r="E356" s="6"/>
    </row>
    <row r="357" customFormat="false" ht="15" hidden="false" customHeight="false" outlineLevel="0" collapsed="false">
      <c r="A357" s="13"/>
      <c r="B357" s="6"/>
      <c r="C357" s="14" t="str">
        <f aca="false">IF($B357="","",IFERROR(INDEX(Inventario!$B$5:$B$104,MATCH($B357,Inventario!$A$5:$A$104,0)),"⚠ código no existe"))</f>
        <v/>
      </c>
      <c r="D357" s="6"/>
      <c r="E357" s="6"/>
    </row>
    <row r="358" customFormat="false" ht="15" hidden="false" customHeight="false" outlineLevel="0" collapsed="false">
      <c r="A358" s="13"/>
      <c r="B358" s="6"/>
      <c r="C358" s="14" t="str">
        <f aca="false">IF($B358="","",IFERROR(INDEX(Inventario!$B$5:$B$104,MATCH($B358,Inventario!$A$5:$A$104,0)),"⚠ código no existe"))</f>
        <v/>
      </c>
      <c r="D358" s="6"/>
      <c r="E358" s="6"/>
    </row>
    <row r="359" customFormat="false" ht="15" hidden="false" customHeight="false" outlineLevel="0" collapsed="false">
      <c r="A359" s="13"/>
      <c r="B359" s="6"/>
      <c r="C359" s="14" t="str">
        <f aca="false">IF($B359="","",IFERROR(INDEX(Inventario!$B$5:$B$104,MATCH($B359,Inventario!$A$5:$A$104,0)),"⚠ código no existe"))</f>
        <v/>
      </c>
      <c r="D359" s="6"/>
      <c r="E359" s="6"/>
    </row>
    <row r="360" customFormat="false" ht="15" hidden="false" customHeight="false" outlineLevel="0" collapsed="false">
      <c r="A360" s="13"/>
      <c r="B360" s="6"/>
      <c r="C360" s="14" t="str">
        <f aca="false">IF($B360="","",IFERROR(INDEX(Inventario!$B$5:$B$104,MATCH($B360,Inventario!$A$5:$A$104,0)),"⚠ código no existe"))</f>
        <v/>
      </c>
      <c r="D360" s="6"/>
      <c r="E360" s="6"/>
    </row>
    <row r="361" customFormat="false" ht="15" hidden="false" customHeight="false" outlineLevel="0" collapsed="false">
      <c r="A361" s="13"/>
      <c r="B361" s="6"/>
      <c r="C361" s="14" t="str">
        <f aca="false">IF($B361="","",IFERROR(INDEX(Inventario!$B$5:$B$104,MATCH($B361,Inventario!$A$5:$A$104,0)),"⚠ código no existe"))</f>
        <v/>
      </c>
      <c r="D361" s="6"/>
      <c r="E361" s="6"/>
    </row>
    <row r="362" customFormat="false" ht="15" hidden="false" customHeight="false" outlineLevel="0" collapsed="false">
      <c r="A362" s="13"/>
      <c r="B362" s="6"/>
      <c r="C362" s="14" t="str">
        <f aca="false">IF($B362="","",IFERROR(INDEX(Inventario!$B$5:$B$104,MATCH($B362,Inventario!$A$5:$A$104,0)),"⚠ código no existe"))</f>
        <v/>
      </c>
      <c r="D362" s="6"/>
      <c r="E362" s="6"/>
    </row>
    <row r="363" customFormat="false" ht="15" hidden="false" customHeight="false" outlineLevel="0" collapsed="false">
      <c r="A363" s="13"/>
      <c r="B363" s="6"/>
      <c r="C363" s="14" t="str">
        <f aca="false">IF($B363="","",IFERROR(INDEX(Inventario!$B$5:$B$104,MATCH($B363,Inventario!$A$5:$A$104,0)),"⚠ código no existe"))</f>
        <v/>
      </c>
      <c r="D363" s="6"/>
      <c r="E363" s="6"/>
    </row>
    <row r="364" customFormat="false" ht="15" hidden="false" customHeight="false" outlineLevel="0" collapsed="false">
      <c r="A364" s="13"/>
      <c r="B364" s="6"/>
      <c r="C364" s="14" t="str">
        <f aca="false">IF($B364="","",IFERROR(INDEX(Inventario!$B$5:$B$104,MATCH($B364,Inventario!$A$5:$A$104,0)),"⚠ código no existe"))</f>
        <v/>
      </c>
      <c r="D364" s="6"/>
      <c r="E364" s="6"/>
    </row>
    <row r="365" customFormat="false" ht="15" hidden="false" customHeight="false" outlineLevel="0" collapsed="false">
      <c r="A365" s="13"/>
      <c r="B365" s="6"/>
      <c r="C365" s="14" t="str">
        <f aca="false">IF($B365="","",IFERROR(INDEX(Inventario!$B$5:$B$104,MATCH($B365,Inventario!$A$5:$A$104,0)),"⚠ código no existe"))</f>
        <v/>
      </c>
      <c r="D365" s="6"/>
      <c r="E365" s="6"/>
    </row>
    <row r="366" customFormat="false" ht="15" hidden="false" customHeight="false" outlineLevel="0" collapsed="false">
      <c r="A366" s="13"/>
      <c r="B366" s="6"/>
      <c r="C366" s="14" t="str">
        <f aca="false">IF($B366="","",IFERROR(INDEX(Inventario!$B$5:$B$104,MATCH($B366,Inventario!$A$5:$A$104,0)),"⚠ código no existe"))</f>
        <v/>
      </c>
      <c r="D366" s="6"/>
      <c r="E366" s="6"/>
    </row>
    <row r="367" customFormat="false" ht="15" hidden="false" customHeight="false" outlineLevel="0" collapsed="false">
      <c r="A367" s="13"/>
      <c r="B367" s="6"/>
      <c r="C367" s="14" t="str">
        <f aca="false">IF($B367="","",IFERROR(INDEX(Inventario!$B$5:$B$104,MATCH($B367,Inventario!$A$5:$A$104,0)),"⚠ código no existe"))</f>
        <v/>
      </c>
      <c r="D367" s="6"/>
      <c r="E367" s="6"/>
    </row>
    <row r="368" customFormat="false" ht="15" hidden="false" customHeight="false" outlineLevel="0" collapsed="false">
      <c r="A368" s="13"/>
      <c r="B368" s="6"/>
      <c r="C368" s="14" t="str">
        <f aca="false">IF($B368="","",IFERROR(INDEX(Inventario!$B$5:$B$104,MATCH($B368,Inventario!$A$5:$A$104,0)),"⚠ código no existe"))</f>
        <v/>
      </c>
      <c r="D368" s="6"/>
      <c r="E368" s="6"/>
    </row>
    <row r="369" customFormat="false" ht="15" hidden="false" customHeight="false" outlineLevel="0" collapsed="false">
      <c r="A369" s="13"/>
      <c r="B369" s="6"/>
      <c r="C369" s="14" t="str">
        <f aca="false">IF($B369="","",IFERROR(INDEX(Inventario!$B$5:$B$104,MATCH($B369,Inventario!$A$5:$A$104,0)),"⚠ código no existe"))</f>
        <v/>
      </c>
      <c r="D369" s="6"/>
      <c r="E369" s="6"/>
    </row>
    <row r="370" customFormat="false" ht="15" hidden="false" customHeight="false" outlineLevel="0" collapsed="false">
      <c r="A370" s="13"/>
      <c r="B370" s="6"/>
      <c r="C370" s="14" t="str">
        <f aca="false">IF($B370="","",IFERROR(INDEX(Inventario!$B$5:$B$104,MATCH($B370,Inventario!$A$5:$A$104,0)),"⚠ código no existe"))</f>
        <v/>
      </c>
      <c r="D370" s="6"/>
      <c r="E370" s="6"/>
    </row>
    <row r="371" customFormat="false" ht="15" hidden="false" customHeight="false" outlineLevel="0" collapsed="false">
      <c r="A371" s="13"/>
      <c r="B371" s="6"/>
      <c r="C371" s="14" t="str">
        <f aca="false">IF($B371="","",IFERROR(INDEX(Inventario!$B$5:$B$104,MATCH($B371,Inventario!$A$5:$A$104,0)),"⚠ código no existe"))</f>
        <v/>
      </c>
      <c r="D371" s="6"/>
      <c r="E371" s="6"/>
    </row>
    <row r="372" customFormat="false" ht="15" hidden="false" customHeight="false" outlineLevel="0" collapsed="false">
      <c r="A372" s="13"/>
      <c r="B372" s="6"/>
      <c r="C372" s="14" t="str">
        <f aca="false">IF($B372="","",IFERROR(INDEX(Inventario!$B$5:$B$104,MATCH($B372,Inventario!$A$5:$A$104,0)),"⚠ código no existe"))</f>
        <v/>
      </c>
      <c r="D372" s="6"/>
      <c r="E372" s="6"/>
    </row>
    <row r="373" customFormat="false" ht="15" hidden="false" customHeight="false" outlineLevel="0" collapsed="false">
      <c r="A373" s="13"/>
      <c r="B373" s="6"/>
      <c r="C373" s="14" t="str">
        <f aca="false">IF($B373="","",IFERROR(INDEX(Inventario!$B$5:$B$104,MATCH($B373,Inventario!$A$5:$A$104,0)),"⚠ código no existe"))</f>
        <v/>
      </c>
      <c r="D373" s="6"/>
      <c r="E373" s="6"/>
    </row>
    <row r="374" customFormat="false" ht="15" hidden="false" customHeight="false" outlineLevel="0" collapsed="false">
      <c r="A374" s="13"/>
      <c r="B374" s="6"/>
      <c r="C374" s="14" t="str">
        <f aca="false">IF($B374="","",IFERROR(INDEX(Inventario!$B$5:$B$104,MATCH($B374,Inventario!$A$5:$A$104,0)),"⚠ código no existe"))</f>
        <v/>
      </c>
      <c r="D374" s="6"/>
      <c r="E374" s="6"/>
    </row>
    <row r="375" customFormat="false" ht="15" hidden="false" customHeight="false" outlineLevel="0" collapsed="false">
      <c r="A375" s="13"/>
      <c r="B375" s="6"/>
      <c r="C375" s="14" t="str">
        <f aca="false">IF($B375="","",IFERROR(INDEX(Inventario!$B$5:$B$104,MATCH($B375,Inventario!$A$5:$A$104,0)),"⚠ código no existe"))</f>
        <v/>
      </c>
      <c r="D375" s="6"/>
      <c r="E375" s="6"/>
    </row>
    <row r="376" customFormat="false" ht="15" hidden="false" customHeight="false" outlineLevel="0" collapsed="false">
      <c r="A376" s="13"/>
      <c r="B376" s="6"/>
      <c r="C376" s="14" t="str">
        <f aca="false">IF($B376="","",IFERROR(INDEX(Inventario!$B$5:$B$104,MATCH($B376,Inventario!$A$5:$A$104,0)),"⚠ código no existe"))</f>
        <v/>
      </c>
      <c r="D376" s="6"/>
      <c r="E376" s="6"/>
    </row>
    <row r="377" customFormat="false" ht="15" hidden="false" customHeight="false" outlineLevel="0" collapsed="false">
      <c r="A377" s="13"/>
      <c r="B377" s="6"/>
      <c r="C377" s="14" t="str">
        <f aca="false">IF($B377="","",IFERROR(INDEX(Inventario!$B$5:$B$104,MATCH($B377,Inventario!$A$5:$A$104,0)),"⚠ código no existe"))</f>
        <v/>
      </c>
      <c r="D377" s="6"/>
      <c r="E377" s="6"/>
    </row>
    <row r="378" customFormat="false" ht="15" hidden="false" customHeight="false" outlineLevel="0" collapsed="false">
      <c r="A378" s="13"/>
      <c r="B378" s="6"/>
      <c r="C378" s="14" t="str">
        <f aca="false">IF($B378="","",IFERROR(INDEX(Inventario!$B$5:$B$104,MATCH($B378,Inventario!$A$5:$A$104,0)),"⚠ código no existe"))</f>
        <v/>
      </c>
      <c r="D378" s="6"/>
      <c r="E378" s="6"/>
    </row>
    <row r="379" customFormat="false" ht="15" hidden="false" customHeight="false" outlineLevel="0" collapsed="false">
      <c r="A379" s="13"/>
      <c r="B379" s="6"/>
      <c r="C379" s="14" t="str">
        <f aca="false">IF($B379="","",IFERROR(INDEX(Inventario!$B$5:$B$104,MATCH($B379,Inventario!$A$5:$A$104,0)),"⚠ código no existe"))</f>
        <v/>
      </c>
      <c r="D379" s="6"/>
      <c r="E379" s="6"/>
    </row>
    <row r="380" customFormat="false" ht="15" hidden="false" customHeight="false" outlineLevel="0" collapsed="false">
      <c r="A380" s="13"/>
      <c r="B380" s="6"/>
      <c r="C380" s="14" t="str">
        <f aca="false">IF($B380="","",IFERROR(INDEX(Inventario!$B$5:$B$104,MATCH($B380,Inventario!$A$5:$A$104,0)),"⚠ código no existe"))</f>
        <v/>
      </c>
      <c r="D380" s="6"/>
      <c r="E380" s="6"/>
    </row>
    <row r="381" customFormat="false" ht="15" hidden="false" customHeight="false" outlineLevel="0" collapsed="false">
      <c r="A381" s="13"/>
      <c r="B381" s="6"/>
      <c r="C381" s="14" t="str">
        <f aca="false">IF($B381="","",IFERROR(INDEX(Inventario!$B$5:$B$104,MATCH($B381,Inventario!$A$5:$A$104,0)),"⚠ código no existe"))</f>
        <v/>
      </c>
      <c r="D381" s="6"/>
      <c r="E381" s="6"/>
    </row>
    <row r="382" customFormat="false" ht="15" hidden="false" customHeight="false" outlineLevel="0" collapsed="false">
      <c r="A382" s="13"/>
      <c r="B382" s="6"/>
      <c r="C382" s="14" t="str">
        <f aca="false">IF($B382="","",IFERROR(INDEX(Inventario!$B$5:$B$104,MATCH($B382,Inventario!$A$5:$A$104,0)),"⚠ código no existe"))</f>
        <v/>
      </c>
      <c r="D382" s="6"/>
      <c r="E382" s="6"/>
    </row>
    <row r="383" customFormat="false" ht="15" hidden="false" customHeight="false" outlineLevel="0" collapsed="false">
      <c r="A383" s="13"/>
      <c r="B383" s="6"/>
      <c r="C383" s="14" t="str">
        <f aca="false">IF($B383="","",IFERROR(INDEX(Inventario!$B$5:$B$104,MATCH($B383,Inventario!$A$5:$A$104,0)),"⚠ código no existe"))</f>
        <v/>
      </c>
      <c r="D383" s="6"/>
      <c r="E383" s="6"/>
    </row>
    <row r="384" customFormat="false" ht="15" hidden="false" customHeight="false" outlineLevel="0" collapsed="false">
      <c r="A384" s="13"/>
      <c r="B384" s="6"/>
      <c r="C384" s="14" t="str">
        <f aca="false">IF($B384="","",IFERROR(INDEX(Inventario!$B$5:$B$104,MATCH($B384,Inventario!$A$5:$A$104,0)),"⚠ código no existe"))</f>
        <v/>
      </c>
      <c r="D384" s="6"/>
      <c r="E384" s="6"/>
    </row>
    <row r="385" customFormat="false" ht="15" hidden="false" customHeight="false" outlineLevel="0" collapsed="false">
      <c r="A385" s="13"/>
      <c r="B385" s="6"/>
      <c r="C385" s="14" t="str">
        <f aca="false">IF($B385="","",IFERROR(INDEX(Inventario!$B$5:$B$104,MATCH($B385,Inventario!$A$5:$A$104,0)),"⚠ código no existe"))</f>
        <v/>
      </c>
      <c r="D385" s="6"/>
      <c r="E385" s="6"/>
    </row>
    <row r="386" customFormat="false" ht="15" hidden="false" customHeight="false" outlineLevel="0" collapsed="false">
      <c r="A386" s="13"/>
      <c r="B386" s="6"/>
      <c r="C386" s="14" t="str">
        <f aca="false">IF($B386="","",IFERROR(INDEX(Inventario!$B$5:$B$104,MATCH($B386,Inventario!$A$5:$A$104,0)),"⚠ código no existe"))</f>
        <v/>
      </c>
      <c r="D386" s="6"/>
      <c r="E386" s="6"/>
    </row>
    <row r="387" customFormat="false" ht="15" hidden="false" customHeight="false" outlineLevel="0" collapsed="false">
      <c r="A387" s="13"/>
      <c r="B387" s="6"/>
      <c r="C387" s="14" t="str">
        <f aca="false">IF($B387="","",IFERROR(INDEX(Inventario!$B$5:$B$104,MATCH($B387,Inventario!$A$5:$A$104,0)),"⚠ código no existe"))</f>
        <v/>
      </c>
      <c r="D387" s="6"/>
      <c r="E387" s="6"/>
    </row>
    <row r="388" customFormat="false" ht="15" hidden="false" customHeight="false" outlineLevel="0" collapsed="false">
      <c r="A388" s="13"/>
      <c r="B388" s="6"/>
      <c r="C388" s="14" t="str">
        <f aca="false">IF($B388="","",IFERROR(INDEX(Inventario!$B$5:$B$104,MATCH($B388,Inventario!$A$5:$A$104,0)),"⚠ código no existe"))</f>
        <v/>
      </c>
      <c r="D388" s="6"/>
      <c r="E388" s="6"/>
    </row>
    <row r="389" customFormat="false" ht="15" hidden="false" customHeight="false" outlineLevel="0" collapsed="false">
      <c r="A389" s="13"/>
      <c r="B389" s="6"/>
      <c r="C389" s="14" t="str">
        <f aca="false">IF($B389="","",IFERROR(INDEX(Inventario!$B$5:$B$104,MATCH($B389,Inventario!$A$5:$A$104,0)),"⚠ código no existe"))</f>
        <v/>
      </c>
      <c r="D389" s="6"/>
      <c r="E389" s="6"/>
    </row>
    <row r="390" customFormat="false" ht="15" hidden="false" customHeight="false" outlineLevel="0" collapsed="false">
      <c r="A390" s="13"/>
      <c r="B390" s="6"/>
      <c r="C390" s="14" t="str">
        <f aca="false">IF($B390="","",IFERROR(INDEX(Inventario!$B$5:$B$104,MATCH($B390,Inventario!$A$5:$A$104,0)),"⚠ código no existe"))</f>
        <v/>
      </c>
      <c r="D390" s="6"/>
      <c r="E390" s="6"/>
    </row>
    <row r="391" customFormat="false" ht="15" hidden="false" customHeight="false" outlineLevel="0" collapsed="false">
      <c r="A391" s="13"/>
      <c r="B391" s="6"/>
      <c r="C391" s="14" t="str">
        <f aca="false">IF($B391="","",IFERROR(INDEX(Inventario!$B$5:$B$104,MATCH($B391,Inventario!$A$5:$A$104,0)),"⚠ código no existe"))</f>
        <v/>
      </c>
      <c r="D391" s="6"/>
      <c r="E391" s="6"/>
    </row>
    <row r="392" customFormat="false" ht="15" hidden="false" customHeight="false" outlineLevel="0" collapsed="false">
      <c r="A392" s="13"/>
      <c r="B392" s="6"/>
      <c r="C392" s="14" t="str">
        <f aca="false">IF($B392="","",IFERROR(INDEX(Inventario!$B$5:$B$104,MATCH($B392,Inventario!$A$5:$A$104,0)),"⚠ código no existe"))</f>
        <v/>
      </c>
      <c r="D392" s="6"/>
      <c r="E392" s="6"/>
    </row>
    <row r="393" customFormat="false" ht="15" hidden="false" customHeight="false" outlineLevel="0" collapsed="false">
      <c r="A393" s="13"/>
      <c r="B393" s="6"/>
      <c r="C393" s="14" t="str">
        <f aca="false">IF($B393="","",IFERROR(INDEX(Inventario!$B$5:$B$104,MATCH($B393,Inventario!$A$5:$A$104,0)),"⚠ código no existe"))</f>
        <v/>
      </c>
      <c r="D393" s="6"/>
      <c r="E393" s="6"/>
    </row>
    <row r="394" customFormat="false" ht="15" hidden="false" customHeight="false" outlineLevel="0" collapsed="false">
      <c r="A394" s="13"/>
      <c r="B394" s="6"/>
      <c r="C394" s="14" t="str">
        <f aca="false">IF($B394="","",IFERROR(INDEX(Inventario!$B$5:$B$104,MATCH($B394,Inventario!$A$5:$A$104,0)),"⚠ código no existe"))</f>
        <v/>
      </c>
      <c r="D394" s="6"/>
      <c r="E394" s="6"/>
    </row>
    <row r="395" customFormat="false" ht="15" hidden="false" customHeight="false" outlineLevel="0" collapsed="false">
      <c r="A395" s="13"/>
      <c r="B395" s="6"/>
      <c r="C395" s="14" t="str">
        <f aca="false">IF($B395="","",IFERROR(INDEX(Inventario!$B$5:$B$104,MATCH($B395,Inventario!$A$5:$A$104,0)),"⚠ código no existe"))</f>
        <v/>
      </c>
      <c r="D395" s="6"/>
      <c r="E395" s="6"/>
    </row>
    <row r="396" customFormat="false" ht="15" hidden="false" customHeight="false" outlineLevel="0" collapsed="false">
      <c r="A396" s="13"/>
      <c r="B396" s="6"/>
      <c r="C396" s="14" t="str">
        <f aca="false">IF($B396="","",IFERROR(INDEX(Inventario!$B$5:$B$104,MATCH($B396,Inventario!$A$5:$A$104,0)),"⚠ código no existe"))</f>
        <v/>
      </c>
      <c r="D396" s="6"/>
      <c r="E396" s="6"/>
    </row>
    <row r="397" customFormat="false" ht="15" hidden="false" customHeight="false" outlineLevel="0" collapsed="false">
      <c r="A397" s="13"/>
      <c r="B397" s="6"/>
      <c r="C397" s="14" t="str">
        <f aca="false">IF($B397="","",IFERROR(INDEX(Inventario!$B$5:$B$104,MATCH($B397,Inventario!$A$5:$A$104,0)),"⚠ código no existe"))</f>
        <v/>
      </c>
      <c r="D397" s="6"/>
      <c r="E397" s="6"/>
    </row>
    <row r="398" customFormat="false" ht="15" hidden="false" customHeight="false" outlineLevel="0" collapsed="false">
      <c r="A398" s="13"/>
      <c r="B398" s="6"/>
      <c r="C398" s="14" t="str">
        <f aca="false">IF($B398="","",IFERROR(INDEX(Inventario!$B$5:$B$104,MATCH($B398,Inventario!$A$5:$A$104,0)),"⚠ código no existe"))</f>
        <v/>
      </c>
      <c r="D398" s="6"/>
      <c r="E398" s="6"/>
    </row>
    <row r="399" customFormat="false" ht="15" hidden="false" customHeight="false" outlineLevel="0" collapsed="false">
      <c r="A399" s="13"/>
      <c r="B399" s="6"/>
      <c r="C399" s="14" t="str">
        <f aca="false">IF($B399="","",IFERROR(INDEX(Inventario!$B$5:$B$104,MATCH($B399,Inventario!$A$5:$A$104,0)),"⚠ código no existe"))</f>
        <v/>
      </c>
      <c r="D399" s="6"/>
      <c r="E399" s="6"/>
    </row>
    <row r="400" customFormat="false" ht="15" hidden="false" customHeight="false" outlineLevel="0" collapsed="false">
      <c r="A400" s="13"/>
      <c r="B400" s="6"/>
      <c r="C400" s="14" t="str">
        <f aca="false">IF($B400="","",IFERROR(INDEX(Inventario!$B$5:$B$104,MATCH($B400,Inventario!$A$5:$A$104,0)),"⚠ código no existe"))</f>
        <v/>
      </c>
      <c r="D400" s="6"/>
      <c r="E400" s="6"/>
    </row>
    <row r="401" customFormat="false" ht="15" hidden="false" customHeight="false" outlineLevel="0" collapsed="false">
      <c r="A401" s="13"/>
      <c r="B401" s="6"/>
      <c r="C401" s="14" t="str">
        <f aca="false">IF($B401="","",IFERROR(INDEX(Inventario!$B$5:$B$104,MATCH($B401,Inventario!$A$5:$A$104,0)),"⚠ código no existe"))</f>
        <v/>
      </c>
      <c r="D401" s="6"/>
      <c r="E401" s="6"/>
    </row>
    <row r="402" customFormat="false" ht="15" hidden="false" customHeight="false" outlineLevel="0" collapsed="false">
      <c r="A402" s="13"/>
      <c r="B402" s="6"/>
      <c r="C402" s="14" t="str">
        <f aca="false">IF($B402="","",IFERROR(INDEX(Inventario!$B$5:$B$104,MATCH($B402,Inventario!$A$5:$A$104,0)),"⚠ código no existe"))</f>
        <v/>
      </c>
      <c r="D402" s="6"/>
      <c r="E402" s="6"/>
    </row>
    <row r="403" customFormat="false" ht="15" hidden="false" customHeight="false" outlineLevel="0" collapsed="false">
      <c r="A403" s="13"/>
      <c r="B403" s="6"/>
      <c r="C403" s="14" t="str">
        <f aca="false">IF($B403="","",IFERROR(INDEX(Inventario!$B$5:$B$104,MATCH($B403,Inventario!$A$5:$A$104,0)),"⚠ código no existe"))</f>
        <v/>
      </c>
      <c r="D403" s="6"/>
      <c r="E403" s="6"/>
    </row>
    <row r="404" customFormat="false" ht="15" hidden="false" customHeight="false" outlineLevel="0" collapsed="false">
      <c r="A404" s="13"/>
      <c r="B404" s="6"/>
      <c r="C404" s="14" t="str">
        <f aca="false">IF($B404="","",IFERROR(INDEX(Inventario!$B$5:$B$104,MATCH($B404,Inventario!$A$5:$A$104,0)),"⚠ código no existe"))</f>
        <v/>
      </c>
      <c r="D404" s="6"/>
      <c r="E404" s="6"/>
    </row>
    <row r="405" customFormat="false" ht="15" hidden="false" customHeight="false" outlineLevel="0" collapsed="false">
      <c r="A405" s="13"/>
      <c r="B405" s="6"/>
      <c r="C405" s="14" t="str">
        <f aca="false">IF($B405="","",IFERROR(INDEX(Inventario!$B$5:$B$104,MATCH($B405,Inventario!$A$5:$A$104,0)),"⚠ código no existe"))</f>
        <v/>
      </c>
      <c r="D405" s="6"/>
      <c r="E405" s="6"/>
    </row>
    <row r="406" customFormat="false" ht="15" hidden="false" customHeight="false" outlineLevel="0" collapsed="false">
      <c r="A406" s="13"/>
      <c r="B406" s="6"/>
      <c r="C406" s="14" t="str">
        <f aca="false">IF($B406="","",IFERROR(INDEX(Inventario!$B$5:$B$104,MATCH($B406,Inventario!$A$5:$A$104,0)),"⚠ código no existe"))</f>
        <v/>
      </c>
      <c r="D406" s="6"/>
      <c r="E406" s="6"/>
    </row>
    <row r="407" customFormat="false" ht="15" hidden="false" customHeight="false" outlineLevel="0" collapsed="false">
      <c r="A407" s="13"/>
      <c r="B407" s="6"/>
      <c r="C407" s="14" t="str">
        <f aca="false">IF($B407="","",IFERROR(INDEX(Inventario!$B$5:$B$104,MATCH($B407,Inventario!$A$5:$A$104,0)),"⚠ código no existe"))</f>
        <v/>
      </c>
      <c r="D407" s="6"/>
      <c r="E407" s="6"/>
    </row>
    <row r="408" customFormat="false" ht="15" hidden="false" customHeight="false" outlineLevel="0" collapsed="false">
      <c r="A408" s="13"/>
      <c r="B408" s="6"/>
      <c r="C408" s="14" t="str">
        <f aca="false">IF($B408="","",IFERROR(INDEX(Inventario!$B$5:$B$104,MATCH($B408,Inventario!$A$5:$A$104,0)),"⚠ código no existe"))</f>
        <v/>
      </c>
      <c r="D408" s="6"/>
      <c r="E408" s="6"/>
    </row>
    <row r="409" customFormat="false" ht="15" hidden="false" customHeight="false" outlineLevel="0" collapsed="false">
      <c r="A409" s="13"/>
      <c r="B409" s="6"/>
      <c r="C409" s="14" t="str">
        <f aca="false">IF($B409="","",IFERROR(INDEX(Inventario!$B$5:$B$104,MATCH($B409,Inventario!$A$5:$A$104,0)),"⚠ código no existe"))</f>
        <v/>
      </c>
      <c r="D409" s="6"/>
      <c r="E409" s="6"/>
    </row>
    <row r="410" customFormat="false" ht="15" hidden="false" customHeight="false" outlineLevel="0" collapsed="false">
      <c r="A410" s="13"/>
      <c r="B410" s="6"/>
      <c r="C410" s="14" t="str">
        <f aca="false">IF($B410="","",IFERROR(INDEX(Inventario!$B$5:$B$104,MATCH($B410,Inventario!$A$5:$A$104,0)),"⚠ código no existe"))</f>
        <v/>
      </c>
      <c r="D410" s="6"/>
      <c r="E410" s="6"/>
    </row>
    <row r="411" customFormat="false" ht="15" hidden="false" customHeight="false" outlineLevel="0" collapsed="false">
      <c r="A411" s="13"/>
      <c r="B411" s="6"/>
      <c r="C411" s="14" t="str">
        <f aca="false">IF($B411="","",IFERROR(INDEX(Inventario!$B$5:$B$104,MATCH($B411,Inventario!$A$5:$A$104,0)),"⚠ código no existe"))</f>
        <v/>
      </c>
      <c r="D411" s="6"/>
      <c r="E411" s="6"/>
    </row>
    <row r="412" customFormat="false" ht="15" hidden="false" customHeight="false" outlineLevel="0" collapsed="false">
      <c r="A412" s="13"/>
      <c r="B412" s="6"/>
      <c r="C412" s="14" t="str">
        <f aca="false">IF($B412="","",IFERROR(INDEX(Inventario!$B$5:$B$104,MATCH($B412,Inventario!$A$5:$A$104,0)),"⚠ código no existe"))</f>
        <v/>
      </c>
      <c r="D412" s="6"/>
      <c r="E412" s="6"/>
    </row>
    <row r="413" customFormat="false" ht="15" hidden="false" customHeight="false" outlineLevel="0" collapsed="false">
      <c r="A413" s="13"/>
      <c r="B413" s="6"/>
      <c r="C413" s="14" t="str">
        <f aca="false">IF($B413="","",IFERROR(INDEX(Inventario!$B$5:$B$104,MATCH($B413,Inventario!$A$5:$A$104,0)),"⚠ código no existe"))</f>
        <v/>
      </c>
      <c r="D413" s="6"/>
      <c r="E413" s="6"/>
    </row>
    <row r="414" customFormat="false" ht="15" hidden="false" customHeight="false" outlineLevel="0" collapsed="false">
      <c r="A414" s="13"/>
      <c r="B414" s="6"/>
      <c r="C414" s="14" t="str">
        <f aca="false">IF($B414="","",IFERROR(INDEX(Inventario!$B$5:$B$104,MATCH($B414,Inventario!$A$5:$A$104,0)),"⚠ código no existe"))</f>
        <v/>
      </c>
      <c r="D414" s="6"/>
      <c r="E414" s="6"/>
    </row>
    <row r="415" customFormat="false" ht="15" hidden="false" customHeight="false" outlineLevel="0" collapsed="false">
      <c r="A415" s="13"/>
      <c r="B415" s="6"/>
      <c r="C415" s="14" t="str">
        <f aca="false">IF($B415="","",IFERROR(INDEX(Inventario!$B$5:$B$104,MATCH($B415,Inventario!$A$5:$A$104,0)),"⚠ código no existe"))</f>
        <v/>
      </c>
      <c r="D415" s="6"/>
      <c r="E415" s="6"/>
    </row>
    <row r="416" customFormat="false" ht="15" hidden="false" customHeight="false" outlineLevel="0" collapsed="false">
      <c r="A416" s="13"/>
      <c r="B416" s="6"/>
      <c r="C416" s="14" t="str">
        <f aca="false">IF($B416="","",IFERROR(INDEX(Inventario!$B$5:$B$104,MATCH($B416,Inventario!$A$5:$A$104,0)),"⚠ código no existe"))</f>
        <v/>
      </c>
      <c r="D416" s="6"/>
      <c r="E416" s="6"/>
    </row>
    <row r="417" customFormat="false" ht="15" hidden="false" customHeight="false" outlineLevel="0" collapsed="false">
      <c r="A417" s="13"/>
      <c r="B417" s="6"/>
      <c r="C417" s="14" t="str">
        <f aca="false">IF($B417="","",IFERROR(INDEX(Inventario!$B$5:$B$104,MATCH($B417,Inventario!$A$5:$A$104,0)),"⚠ código no existe"))</f>
        <v/>
      </c>
      <c r="D417" s="6"/>
      <c r="E417" s="6"/>
    </row>
    <row r="418" customFormat="false" ht="15" hidden="false" customHeight="false" outlineLevel="0" collapsed="false">
      <c r="A418" s="13"/>
      <c r="B418" s="6"/>
      <c r="C418" s="14" t="str">
        <f aca="false">IF($B418="","",IFERROR(INDEX(Inventario!$B$5:$B$104,MATCH($B418,Inventario!$A$5:$A$104,0)),"⚠ código no existe"))</f>
        <v/>
      </c>
      <c r="D418" s="6"/>
      <c r="E418" s="6"/>
    </row>
    <row r="419" customFormat="false" ht="15" hidden="false" customHeight="false" outlineLevel="0" collapsed="false">
      <c r="A419" s="13"/>
      <c r="B419" s="6"/>
      <c r="C419" s="14" t="str">
        <f aca="false">IF($B419="","",IFERROR(INDEX(Inventario!$B$5:$B$104,MATCH($B419,Inventario!$A$5:$A$104,0)),"⚠ código no existe"))</f>
        <v/>
      </c>
      <c r="D419" s="6"/>
      <c r="E419" s="6"/>
    </row>
    <row r="420" customFormat="false" ht="15" hidden="false" customHeight="false" outlineLevel="0" collapsed="false">
      <c r="A420" s="13"/>
      <c r="B420" s="6"/>
      <c r="C420" s="14" t="str">
        <f aca="false">IF($B420="","",IFERROR(INDEX(Inventario!$B$5:$B$104,MATCH($B420,Inventario!$A$5:$A$104,0)),"⚠ código no existe"))</f>
        <v/>
      </c>
      <c r="D420" s="6"/>
      <c r="E420" s="6"/>
    </row>
    <row r="421" customFormat="false" ht="15" hidden="false" customHeight="false" outlineLevel="0" collapsed="false">
      <c r="A421" s="13"/>
      <c r="B421" s="6"/>
      <c r="C421" s="14" t="str">
        <f aca="false">IF($B421="","",IFERROR(INDEX(Inventario!$B$5:$B$104,MATCH($B421,Inventario!$A$5:$A$104,0)),"⚠ código no existe"))</f>
        <v/>
      </c>
      <c r="D421" s="6"/>
      <c r="E421" s="6"/>
    </row>
    <row r="422" customFormat="false" ht="15" hidden="false" customHeight="false" outlineLevel="0" collapsed="false">
      <c r="A422" s="13"/>
      <c r="B422" s="6"/>
      <c r="C422" s="14" t="str">
        <f aca="false">IF($B422="","",IFERROR(INDEX(Inventario!$B$5:$B$104,MATCH($B422,Inventario!$A$5:$A$104,0)),"⚠ código no existe"))</f>
        <v/>
      </c>
      <c r="D422" s="6"/>
      <c r="E422" s="6"/>
    </row>
    <row r="423" customFormat="false" ht="15" hidden="false" customHeight="false" outlineLevel="0" collapsed="false">
      <c r="A423" s="13"/>
      <c r="B423" s="6"/>
      <c r="C423" s="14" t="str">
        <f aca="false">IF($B423="","",IFERROR(INDEX(Inventario!$B$5:$B$104,MATCH($B423,Inventario!$A$5:$A$104,0)),"⚠ código no existe"))</f>
        <v/>
      </c>
      <c r="D423" s="6"/>
      <c r="E423" s="6"/>
    </row>
    <row r="424" customFormat="false" ht="15" hidden="false" customHeight="false" outlineLevel="0" collapsed="false">
      <c r="A424" s="13"/>
      <c r="B424" s="6"/>
      <c r="C424" s="14" t="str">
        <f aca="false">IF($B424="","",IFERROR(INDEX(Inventario!$B$5:$B$104,MATCH($B424,Inventario!$A$5:$A$104,0)),"⚠ código no existe"))</f>
        <v/>
      </c>
      <c r="D424" s="6"/>
      <c r="E424" s="6"/>
    </row>
    <row r="425" customFormat="false" ht="15" hidden="false" customHeight="false" outlineLevel="0" collapsed="false">
      <c r="A425" s="13"/>
      <c r="B425" s="6"/>
      <c r="C425" s="14" t="str">
        <f aca="false">IF($B425="","",IFERROR(INDEX(Inventario!$B$5:$B$104,MATCH($B425,Inventario!$A$5:$A$104,0)),"⚠ código no existe"))</f>
        <v/>
      </c>
      <c r="D425" s="6"/>
      <c r="E425" s="6"/>
    </row>
    <row r="426" customFormat="false" ht="15" hidden="false" customHeight="false" outlineLevel="0" collapsed="false">
      <c r="A426" s="13"/>
      <c r="B426" s="6"/>
      <c r="C426" s="14" t="str">
        <f aca="false">IF($B426="","",IFERROR(INDEX(Inventario!$B$5:$B$104,MATCH($B426,Inventario!$A$5:$A$104,0)),"⚠ código no existe"))</f>
        <v/>
      </c>
      <c r="D426" s="6"/>
      <c r="E426" s="6"/>
    </row>
    <row r="427" customFormat="false" ht="15" hidden="false" customHeight="false" outlineLevel="0" collapsed="false">
      <c r="A427" s="13"/>
      <c r="B427" s="6"/>
      <c r="C427" s="14" t="str">
        <f aca="false">IF($B427="","",IFERROR(INDEX(Inventario!$B$5:$B$104,MATCH($B427,Inventario!$A$5:$A$104,0)),"⚠ código no existe"))</f>
        <v/>
      </c>
      <c r="D427" s="6"/>
      <c r="E427" s="6"/>
    </row>
    <row r="428" customFormat="false" ht="15" hidden="false" customHeight="false" outlineLevel="0" collapsed="false">
      <c r="A428" s="13"/>
      <c r="B428" s="6"/>
      <c r="C428" s="14" t="str">
        <f aca="false">IF($B428="","",IFERROR(INDEX(Inventario!$B$5:$B$104,MATCH($B428,Inventario!$A$5:$A$104,0)),"⚠ código no existe"))</f>
        <v/>
      </c>
      <c r="D428" s="6"/>
      <c r="E428" s="6"/>
    </row>
    <row r="429" customFormat="false" ht="15" hidden="false" customHeight="false" outlineLevel="0" collapsed="false">
      <c r="A429" s="13"/>
      <c r="B429" s="6"/>
      <c r="C429" s="14" t="str">
        <f aca="false">IF($B429="","",IFERROR(INDEX(Inventario!$B$5:$B$104,MATCH($B429,Inventario!$A$5:$A$104,0)),"⚠ código no existe"))</f>
        <v/>
      </c>
      <c r="D429" s="6"/>
      <c r="E429" s="6"/>
    </row>
    <row r="430" customFormat="false" ht="15" hidden="false" customHeight="false" outlineLevel="0" collapsed="false">
      <c r="A430" s="13"/>
      <c r="B430" s="6"/>
      <c r="C430" s="14" t="str">
        <f aca="false">IF($B430="","",IFERROR(INDEX(Inventario!$B$5:$B$104,MATCH($B430,Inventario!$A$5:$A$104,0)),"⚠ código no existe"))</f>
        <v/>
      </c>
      <c r="D430" s="6"/>
      <c r="E430" s="6"/>
    </row>
    <row r="431" customFormat="false" ht="15" hidden="false" customHeight="false" outlineLevel="0" collapsed="false">
      <c r="A431" s="13"/>
      <c r="B431" s="6"/>
      <c r="C431" s="14" t="str">
        <f aca="false">IF($B431="","",IFERROR(INDEX(Inventario!$B$5:$B$104,MATCH($B431,Inventario!$A$5:$A$104,0)),"⚠ código no existe"))</f>
        <v/>
      </c>
      <c r="D431" s="6"/>
      <c r="E431" s="6"/>
    </row>
    <row r="432" customFormat="false" ht="15" hidden="false" customHeight="false" outlineLevel="0" collapsed="false">
      <c r="A432" s="13"/>
      <c r="B432" s="6"/>
      <c r="C432" s="14" t="str">
        <f aca="false">IF($B432="","",IFERROR(INDEX(Inventario!$B$5:$B$104,MATCH($B432,Inventario!$A$5:$A$104,0)),"⚠ código no existe"))</f>
        <v/>
      </c>
      <c r="D432" s="6"/>
      <c r="E432" s="6"/>
    </row>
    <row r="433" customFormat="false" ht="15" hidden="false" customHeight="false" outlineLevel="0" collapsed="false">
      <c r="A433" s="13"/>
      <c r="B433" s="6"/>
      <c r="C433" s="14" t="str">
        <f aca="false">IF($B433="","",IFERROR(INDEX(Inventario!$B$5:$B$104,MATCH($B433,Inventario!$A$5:$A$104,0)),"⚠ código no existe"))</f>
        <v/>
      </c>
      <c r="D433" s="6"/>
      <c r="E433" s="6"/>
    </row>
    <row r="434" customFormat="false" ht="15" hidden="false" customHeight="false" outlineLevel="0" collapsed="false">
      <c r="A434" s="13"/>
      <c r="B434" s="6"/>
      <c r="C434" s="14" t="str">
        <f aca="false">IF($B434="","",IFERROR(INDEX(Inventario!$B$5:$B$104,MATCH($B434,Inventario!$A$5:$A$104,0)),"⚠ código no existe"))</f>
        <v/>
      </c>
      <c r="D434" s="6"/>
      <c r="E434" s="6"/>
    </row>
    <row r="435" customFormat="false" ht="15" hidden="false" customHeight="false" outlineLevel="0" collapsed="false">
      <c r="A435" s="13"/>
      <c r="B435" s="6"/>
      <c r="C435" s="14" t="str">
        <f aca="false">IF($B435="","",IFERROR(INDEX(Inventario!$B$5:$B$104,MATCH($B435,Inventario!$A$5:$A$104,0)),"⚠ código no existe"))</f>
        <v/>
      </c>
      <c r="D435" s="6"/>
      <c r="E435" s="6"/>
    </row>
    <row r="436" customFormat="false" ht="15" hidden="false" customHeight="false" outlineLevel="0" collapsed="false">
      <c r="A436" s="13"/>
      <c r="B436" s="6"/>
      <c r="C436" s="14" t="str">
        <f aca="false">IF($B436="","",IFERROR(INDEX(Inventario!$B$5:$B$104,MATCH($B436,Inventario!$A$5:$A$104,0)),"⚠ código no existe"))</f>
        <v/>
      </c>
      <c r="D436" s="6"/>
      <c r="E436" s="6"/>
    </row>
    <row r="437" customFormat="false" ht="15" hidden="false" customHeight="false" outlineLevel="0" collapsed="false">
      <c r="A437" s="13"/>
      <c r="B437" s="6"/>
      <c r="C437" s="14" t="str">
        <f aca="false">IF($B437="","",IFERROR(INDEX(Inventario!$B$5:$B$104,MATCH($B437,Inventario!$A$5:$A$104,0)),"⚠ código no existe"))</f>
        <v/>
      </c>
      <c r="D437" s="6"/>
      <c r="E437" s="6"/>
    </row>
    <row r="438" customFormat="false" ht="15" hidden="false" customHeight="false" outlineLevel="0" collapsed="false">
      <c r="A438" s="13"/>
      <c r="B438" s="6"/>
      <c r="C438" s="14" t="str">
        <f aca="false">IF($B438="","",IFERROR(INDEX(Inventario!$B$5:$B$104,MATCH($B438,Inventario!$A$5:$A$104,0)),"⚠ código no existe"))</f>
        <v/>
      </c>
      <c r="D438" s="6"/>
      <c r="E438" s="6"/>
    </row>
    <row r="439" customFormat="false" ht="15" hidden="false" customHeight="false" outlineLevel="0" collapsed="false">
      <c r="A439" s="13"/>
      <c r="B439" s="6"/>
      <c r="C439" s="14" t="str">
        <f aca="false">IF($B439="","",IFERROR(INDEX(Inventario!$B$5:$B$104,MATCH($B439,Inventario!$A$5:$A$104,0)),"⚠ código no existe"))</f>
        <v/>
      </c>
      <c r="D439" s="6"/>
      <c r="E439" s="6"/>
    </row>
    <row r="440" customFormat="false" ht="15" hidden="false" customHeight="false" outlineLevel="0" collapsed="false">
      <c r="A440" s="13"/>
      <c r="B440" s="6"/>
      <c r="C440" s="14" t="str">
        <f aca="false">IF($B440="","",IFERROR(INDEX(Inventario!$B$5:$B$104,MATCH($B440,Inventario!$A$5:$A$104,0)),"⚠ código no existe"))</f>
        <v/>
      </c>
      <c r="D440" s="6"/>
      <c r="E440" s="6"/>
    </row>
    <row r="441" customFormat="false" ht="15" hidden="false" customHeight="false" outlineLevel="0" collapsed="false">
      <c r="A441" s="13"/>
      <c r="B441" s="6"/>
      <c r="C441" s="14" t="str">
        <f aca="false">IF($B441="","",IFERROR(INDEX(Inventario!$B$5:$B$104,MATCH($B441,Inventario!$A$5:$A$104,0)),"⚠ código no existe"))</f>
        <v/>
      </c>
      <c r="D441" s="6"/>
      <c r="E441" s="6"/>
    </row>
    <row r="442" customFormat="false" ht="15" hidden="false" customHeight="false" outlineLevel="0" collapsed="false">
      <c r="A442" s="13"/>
      <c r="B442" s="6"/>
      <c r="C442" s="14" t="str">
        <f aca="false">IF($B442="","",IFERROR(INDEX(Inventario!$B$5:$B$104,MATCH($B442,Inventario!$A$5:$A$104,0)),"⚠ código no existe"))</f>
        <v/>
      </c>
      <c r="D442" s="6"/>
      <c r="E442" s="6"/>
    </row>
    <row r="443" customFormat="false" ht="15" hidden="false" customHeight="false" outlineLevel="0" collapsed="false">
      <c r="A443" s="13"/>
      <c r="B443" s="6"/>
      <c r="C443" s="14" t="str">
        <f aca="false">IF($B443="","",IFERROR(INDEX(Inventario!$B$5:$B$104,MATCH($B443,Inventario!$A$5:$A$104,0)),"⚠ código no existe"))</f>
        <v/>
      </c>
      <c r="D443" s="6"/>
      <c r="E443" s="6"/>
    </row>
    <row r="444" customFormat="false" ht="15" hidden="false" customHeight="false" outlineLevel="0" collapsed="false">
      <c r="A444" s="13"/>
      <c r="B444" s="6"/>
      <c r="C444" s="14" t="str">
        <f aca="false">IF($B444="","",IFERROR(INDEX(Inventario!$B$5:$B$104,MATCH($B444,Inventario!$A$5:$A$104,0)),"⚠ código no existe"))</f>
        <v/>
      </c>
      <c r="D444" s="6"/>
      <c r="E444" s="6"/>
    </row>
    <row r="445" customFormat="false" ht="15" hidden="false" customHeight="false" outlineLevel="0" collapsed="false">
      <c r="A445" s="13"/>
      <c r="B445" s="6"/>
      <c r="C445" s="14" t="str">
        <f aca="false">IF($B445="","",IFERROR(INDEX(Inventario!$B$5:$B$104,MATCH($B445,Inventario!$A$5:$A$104,0)),"⚠ código no existe"))</f>
        <v/>
      </c>
      <c r="D445" s="6"/>
      <c r="E445" s="6"/>
    </row>
    <row r="446" customFormat="false" ht="15" hidden="false" customHeight="false" outlineLevel="0" collapsed="false">
      <c r="A446" s="13"/>
      <c r="B446" s="6"/>
      <c r="C446" s="14" t="str">
        <f aca="false">IF($B446="","",IFERROR(INDEX(Inventario!$B$5:$B$104,MATCH($B446,Inventario!$A$5:$A$104,0)),"⚠ código no existe"))</f>
        <v/>
      </c>
      <c r="D446" s="6"/>
      <c r="E446" s="6"/>
    </row>
    <row r="447" customFormat="false" ht="15" hidden="false" customHeight="false" outlineLevel="0" collapsed="false">
      <c r="A447" s="13"/>
      <c r="B447" s="6"/>
      <c r="C447" s="14" t="str">
        <f aca="false">IF($B447="","",IFERROR(INDEX(Inventario!$B$5:$B$104,MATCH($B447,Inventario!$A$5:$A$104,0)),"⚠ código no existe"))</f>
        <v/>
      </c>
      <c r="D447" s="6"/>
      <c r="E447" s="6"/>
    </row>
    <row r="448" customFormat="false" ht="15" hidden="false" customHeight="false" outlineLevel="0" collapsed="false">
      <c r="A448" s="13"/>
      <c r="B448" s="6"/>
      <c r="C448" s="14" t="str">
        <f aca="false">IF($B448="","",IFERROR(INDEX(Inventario!$B$5:$B$104,MATCH($B448,Inventario!$A$5:$A$104,0)),"⚠ código no existe"))</f>
        <v/>
      </c>
      <c r="D448" s="6"/>
      <c r="E448" s="6"/>
    </row>
    <row r="449" customFormat="false" ht="15" hidden="false" customHeight="false" outlineLevel="0" collapsed="false">
      <c r="A449" s="13"/>
      <c r="B449" s="6"/>
      <c r="C449" s="14" t="str">
        <f aca="false">IF($B449="","",IFERROR(INDEX(Inventario!$B$5:$B$104,MATCH($B449,Inventario!$A$5:$A$104,0)),"⚠ código no existe"))</f>
        <v/>
      </c>
      <c r="D449" s="6"/>
      <c r="E449" s="6"/>
    </row>
    <row r="450" customFormat="false" ht="15" hidden="false" customHeight="false" outlineLevel="0" collapsed="false">
      <c r="A450" s="13"/>
      <c r="B450" s="6"/>
      <c r="C450" s="14" t="str">
        <f aca="false">IF($B450="","",IFERROR(INDEX(Inventario!$B$5:$B$104,MATCH($B450,Inventario!$A$5:$A$104,0)),"⚠ código no existe"))</f>
        <v/>
      </c>
      <c r="D450" s="6"/>
      <c r="E450" s="6"/>
    </row>
    <row r="451" customFormat="false" ht="15" hidden="false" customHeight="false" outlineLevel="0" collapsed="false">
      <c r="A451" s="13"/>
      <c r="B451" s="6"/>
      <c r="C451" s="14" t="str">
        <f aca="false">IF($B451="","",IFERROR(INDEX(Inventario!$B$5:$B$104,MATCH($B451,Inventario!$A$5:$A$104,0)),"⚠ código no existe"))</f>
        <v/>
      </c>
      <c r="D451" s="6"/>
      <c r="E451" s="6"/>
    </row>
    <row r="452" customFormat="false" ht="15" hidden="false" customHeight="false" outlineLevel="0" collapsed="false">
      <c r="A452" s="13"/>
      <c r="B452" s="6"/>
      <c r="C452" s="14" t="str">
        <f aca="false">IF($B452="","",IFERROR(INDEX(Inventario!$B$5:$B$104,MATCH($B452,Inventario!$A$5:$A$104,0)),"⚠ código no existe"))</f>
        <v/>
      </c>
      <c r="D452" s="6"/>
      <c r="E452" s="6"/>
    </row>
    <row r="453" customFormat="false" ht="15" hidden="false" customHeight="false" outlineLevel="0" collapsed="false">
      <c r="A453" s="13"/>
      <c r="B453" s="6"/>
      <c r="C453" s="14" t="str">
        <f aca="false">IF($B453="","",IFERROR(INDEX(Inventario!$B$5:$B$104,MATCH($B453,Inventario!$A$5:$A$104,0)),"⚠ código no existe"))</f>
        <v/>
      </c>
      <c r="D453" s="6"/>
      <c r="E453" s="6"/>
    </row>
    <row r="454" customFormat="false" ht="15" hidden="false" customHeight="false" outlineLevel="0" collapsed="false">
      <c r="A454" s="13"/>
      <c r="B454" s="6"/>
      <c r="C454" s="14" t="str">
        <f aca="false">IF($B454="","",IFERROR(INDEX(Inventario!$B$5:$B$104,MATCH($B454,Inventario!$A$5:$A$104,0)),"⚠ código no existe"))</f>
        <v/>
      </c>
      <c r="D454" s="6"/>
      <c r="E454" s="6"/>
    </row>
    <row r="455" customFormat="false" ht="15" hidden="false" customHeight="false" outlineLevel="0" collapsed="false">
      <c r="A455" s="13"/>
      <c r="B455" s="6"/>
      <c r="C455" s="14" t="str">
        <f aca="false">IF($B455="","",IFERROR(INDEX(Inventario!$B$5:$B$104,MATCH($B455,Inventario!$A$5:$A$104,0)),"⚠ código no existe"))</f>
        <v/>
      </c>
      <c r="D455" s="6"/>
      <c r="E455" s="6"/>
    </row>
    <row r="456" customFormat="false" ht="15" hidden="false" customHeight="false" outlineLevel="0" collapsed="false">
      <c r="A456" s="13"/>
      <c r="B456" s="6"/>
      <c r="C456" s="14" t="str">
        <f aca="false">IF($B456="","",IFERROR(INDEX(Inventario!$B$5:$B$104,MATCH($B456,Inventario!$A$5:$A$104,0)),"⚠ código no existe"))</f>
        <v/>
      </c>
      <c r="D456" s="6"/>
      <c r="E456" s="6"/>
    </row>
    <row r="457" customFormat="false" ht="15" hidden="false" customHeight="false" outlineLevel="0" collapsed="false">
      <c r="A457" s="13"/>
      <c r="B457" s="6"/>
      <c r="C457" s="14" t="str">
        <f aca="false">IF($B457="","",IFERROR(INDEX(Inventario!$B$5:$B$104,MATCH($B457,Inventario!$A$5:$A$104,0)),"⚠ código no existe"))</f>
        <v/>
      </c>
      <c r="D457" s="6"/>
      <c r="E457" s="6"/>
    </row>
    <row r="458" customFormat="false" ht="15" hidden="false" customHeight="false" outlineLevel="0" collapsed="false">
      <c r="A458" s="13"/>
      <c r="B458" s="6"/>
      <c r="C458" s="14" t="str">
        <f aca="false">IF($B458="","",IFERROR(INDEX(Inventario!$B$5:$B$104,MATCH($B458,Inventario!$A$5:$A$104,0)),"⚠ código no existe"))</f>
        <v/>
      </c>
      <c r="D458" s="6"/>
      <c r="E458" s="6"/>
    </row>
    <row r="459" customFormat="false" ht="15" hidden="false" customHeight="false" outlineLevel="0" collapsed="false">
      <c r="A459" s="13"/>
      <c r="B459" s="6"/>
      <c r="C459" s="14" t="str">
        <f aca="false">IF($B459="","",IFERROR(INDEX(Inventario!$B$5:$B$104,MATCH($B459,Inventario!$A$5:$A$104,0)),"⚠ código no existe"))</f>
        <v/>
      </c>
      <c r="D459" s="6"/>
      <c r="E459" s="6"/>
    </row>
    <row r="460" customFormat="false" ht="15" hidden="false" customHeight="false" outlineLevel="0" collapsed="false">
      <c r="A460" s="13"/>
      <c r="B460" s="6"/>
      <c r="C460" s="14" t="str">
        <f aca="false">IF($B460="","",IFERROR(INDEX(Inventario!$B$5:$B$104,MATCH($B460,Inventario!$A$5:$A$104,0)),"⚠ código no existe"))</f>
        <v/>
      </c>
      <c r="D460" s="6"/>
      <c r="E460" s="6"/>
    </row>
    <row r="461" customFormat="false" ht="15" hidden="false" customHeight="false" outlineLevel="0" collapsed="false">
      <c r="A461" s="13"/>
      <c r="B461" s="6"/>
      <c r="C461" s="14" t="str">
        <f aca="false">IF($B461="","",IFERROR(INDEX(Inventario!$B$5:$B$104,MATCH($B461,Inventario!$A$5:$A$104,0)),"⚠ código no existe"))</f>
        <v/>
      </c>
      <c r="D461" s="6"/>
      <c r="E461" s="6"/>
    </row>
    <row r="462" customFormat="false" ht="15" hidden="false" customHeight="false" outlineLevel="0" collapsed="false">
      <c r="A462" s="13"/>
      <c r="B462" s="6"/>
      <c r="C462" s="14" t="str">
        <f aca="false">IF($B462="","",IFERROR(INDEX(Inventario!$B$5:$B$104,MATCH($B462,Inventario!$A$5:$A$104,0)),"⚠ código no existe"))</f>
        <v/>
      </c>
      <c r="D462" s="6"/>
      <c r="E462" s="6"/>
    </row>
    <row r="463" customFormat="false" ht="15" hidden="false" customHeight="false" outlineLevel="0" collapsed="false">
      <c r="A463" s="13"/>
      <c r="B463" s="6"/>
      <c r="C463" s="14" t="str">
        <f aca="false">IF($B463="","",IFERROR(INDEX(Inventario!$B$5:$B$104,MATCH($B463,Inventario!$A$5:$A$104,0)),"⚠ código no existe"))</f>
        <v/>
      </c>
      <c r="D463" s="6"/>
      <c r="E463" s="6"/>
    </row>
    <row r="464" customFormat="false" ht="15" hidden="false" customHeight="false" outlineLevel="0" collapsed="false">
      <c r="A464" s="13"/>
      <c r="B464" s="6"/>
      <c r="C464" s="14" t="str">
        <f aca="false">IF($B464="","",IFERROR(INDEX(Inventario!$B$5:$B$104,MATCH($B464,Inventario!$A$5:$A$104,0)),"⚠ código no existe"))</f>
        <v/>
      </c>
      <c r="D464" s="6"/>
      <c r="E464" s="6"/>
    </row>
    <row r="465" customFormat="false" ht="15" hidden="false" customHeight="false" outlineLevel="0" collapsed="false">
      <c r="A465" s="13"/>
      <c r="B465" s="6"/>
      <c r="C465" s="14" t="str">
        <f aca="false">IF($B465="","",IFERROR(INDEX(Inventario!$B$5:$B$104,MATCH($B465,Inventario!$A$5:$A$104,0)),"⚠ código no existe"))</f>
        <v/>
      </c>
      <c r="D465" s="6"/>
      <c r="E465" s="6"/>
    </row>
    <row r="466" customFormat="false" ht="15" hidden="false" customHeight="false" outlineLevel="0" collapsed="false">
      <c r="A466" s="13"/>
      <c r="B466" s="6"/>
      <c r="C466" s="14" t="str">
        <f aca="false">IF($B466="","",IFERROR(INDEX(Inventario!$B$5:$B$104,MATCH($B466,Inventario!$A$5:$A$104,0)),"⚠ código no existe"))</f>
        <v/>
      </c>
      <c r="D466" s="6"/>
      <c r="E466" s="6"/>
    </row>
    <row r="467" customFormat="false" ht="15" hidden="false" customHeight="false" outlineLevel="0" collapsed="false">
      <c r="A467" s="13"/>
      <c r="B467" s="6"/>
      <c r="C467" s="14" t="str">
        <f aca="false">IF($B467="","",IFERROR(INDEX(Inventario!$B$5:$B$104,MATCH($B467,Inventario!$A$5:$A$104,0)),"⚠ código no existe"))</f>
        <v/>
      </c>
      <c r="D467" s="6"/>
      <c r="E467" s="6"/>
    </row>
    <row r="468" customFormat="false" ht="15" hidden="false" customHeight="false" outlineLevel="0" collapsed="false">
      <c r="A468" s="13"/>
      <c r="B468" s="6"/>
      <c r="C468" s="14" t="str">
        <f aca="false">IF($B468="","",IFERROR(INDEX(Inventario!$B$5:$B$104,MATCH($B468,Inventario!$A$5:$A$104,0)),"⚠ código no existe"))</f>
        <v/>
      </c>
      <c r="D468" s="6"/>
      <c r="E468" s="6"/>
    </row>
    <row r="469" customFormat="false" ht="15" hidden="false" customHeight="false" outlineLevel="0" collapsed="false">
      <c r="A469" s="13"/>
      <c r="B469" s="6"/>
      <c r="C469" s="14" t="str">
        <f aca="false">IF($B469="","",IFERROR(INDEX(Inventario!$B$5:$B$104,MATCH($B469,Inventario!$A$5:$A$104,0)),"⚠ código no existe"))</f>
        <v/>
      </c>
      <c r="D469" s="6"/>
      <c r="E469" s="6"/>
    </row>
    <row r="470" customFormat="false" ht="15" hidden="false" customHeight="false" outlineLevel="0" collapsed="false">
      <c r="A470" s="13"/>
      <c r="B470" s="6"/>
      <c r="C470" s="14" t="str">
        <f aca="false">IF($B470="","",IFERROR(INDEX(Inventario!$B$5:$B$104,MATCH($B470,Inventario!$A$5:$A$104,0)),"⚠ código no existe"))</f>
        <v/>
      </c>
      <c r="D470" s="6"/>
      <c r="E470" s="6"/>
    </row>
    <row r="471" customFormat="false" ht="15" hidden="false" customHeight="false" outlineLevel="0" collapsed="false">
      <c r="A471" s="13"/>
      <c r="B471" s="6"/>
      <c r="C471" s="14" t="str">
        <f aca="false">IF($B471="","",IFERROR(INDEX(Inventario!$B$5:$B$104,MATCH($B471,Inventario!$A$5:$A$104,0)),"⚠ código no existe"))</f>
        <v/>
      </c>
      <c r="D471" s="6"/>
      <c r="E471" s="6"/>
    </row>
    <row r="472" customFormat="false" ht="15" hidden="false" customHeight="false" outlineLevel="0" collapsed="false">
      <c r="A472" s="13"/>
      <c r="B472" s="6"/>
      <c r="C472" s="14" t="str">
        <f aca="false">IF($B472="","",IFERROR(INDEX(Inventario!$B$5:$B$104,MATCH($B472,Inventario!$A$5:$A$104,0)),"⚠ código no existe"))</f>
        <v/>
      </c>
      <c r="D472" s="6"/>
      <c r="E472" s="6"/>
    </row>
    <row r="473" customFormat="false" ht="15" hidden="false" customHeight="false" outlineLevel="0" collapsed="false">
      <c r="A473" s="13"/>
      <c r="B473" s="6"/>
      <c r="C473" s="14" t="str">
        <f aca="false">IF($B473="","",IFERROR(INDEX(Inventario!$B$5:$B$104,MATCH($B473,Inventario!$A$5:$A$104,0)),"⚠ código no existe"))</f>
        <v/>
      </c>
      <c r="D473" s="6"/>
      <c r="E473" s="6"/>
    </row>
    <row r="474" customFormat="false" ht="15" hidden="false" customHeight="false" outlineLevel="0" collapsed="false">
      <c r="A474" s="13"/>
      <c r="B474" s="6"/>
      <c r="C474" s="14" t="str">
        <f aca="false">IF($B474="","",IFERROR(INDEX(Inventario!$B$5:$B$104,MATCH($B474,Inventario!$A$5:$A$104,0)),"⚠ código no existe"))</f>
        <v/>
      </c>
      <c r="D474" s="6"/>
      <c r="E474" s="6"/>
    </row>
    <row r="475" customFormat="false" ht="15" hidden="false" customHeight="false" outlineLevel="0" collapsed="false">
      <c r="A475" s="13"/>
      <c r="B475" s="6"/>
      <c r="C475" s="14" t="str">
        <f aca="false">IF($B475="","",IFERROR(INDEX(Inventario!$B$5:$B$104,MATCH($B475,Inventario!$A$5:$A$104,0)),"⚠ código no existe"))</f>
        <v/>
      </c>
      <c r="D475" s="6"/>
      <c r="E475" s="6"/>
    </row>
    <row r="476" customFormat="false" ht="15" hidden="false" customHeight="false" outlineLevel="0" collapsed="false">
      <c r="A476" s="13"/>
      <c r="B476" s="6"/>
      <c r="C476" s="14" t="str">
        <f aca="false">IF($B476="","",IFERROR(INDEX(Inventario!$B$5:$B$104,MATCH($B476,Inventario!$A$5:$A$104,0)),"⚠ código no existe"))</f>
        <v/>
      </c>
      <c r="D476" s="6"/>
      <c r="E476" s="6"/>
    </row>
    <row r="477" customFormat="false" ht="15" hidden="false" customHeight="false" outlineLevel="0" collapsed="false">
      <c r="A477" s="13"/>
      <c r="B477" s="6"/>
      <c r="C477" s="14" t="str">
        <f aca="false">IF($B477="","",IFERROR(INDEX(Inventario!$B$5:$B$104,MATCH($B477,Inventario!$A$5:$A$104,0)),"⚠ código no existe"))</f>
        <v/>
      </c>
      <c r="D477" s="6"/>
      <c r="E477" s="6"/>
    </row>
    <row r="478" customFormat="false" ht="15" hidden="false" customHeight="false" outlineLevel="0" collapsed="false">
      <c r="A478" s="13"/>
      <c r="B478" s="6"/>
      <c r="C478" s="14" t="str">
        <f aca="false">IF($B478="","",IFERROR(INDEX(Inventario!$B$5:$B$104,MATCH($B478,Inventario!$A$5:$A$104,0)),"⚠ código no existe"))</f>
        <v/>
      </c>
      <c r="D478" s="6"/>
      <c r="E478" s="6"/>
    </row>
    <row r="479" customFormat="false" ht="15" hidden="false" customHeight="false" outlineLevel="0" collapsed="false">
      <c r="A479" s="13"/>
      <c r="B479" s="6"/>
      <c r="C479" s="14" t="str">
        <f aca="false">IF($B479="","",IFERROR(INDEX(Inventario!$B$5:$B$104,MATCH($B479,Inventario!$A$5:$A$104,0)),"⚠ código no existe"))</f>
        <v/>
      </c>
      <c r="D479" s="6"/>
      <c r="E479" s="6"/>
    </row>
    <row r="480" customFormat="false" ht="15" hidden="false" customHeight="false" outlineLevel="0" collapsed="false">
      <c r="A480" s="13"/>
      <c r="B480" s="6"/>
      <c r="C480" s="14" t="str">
        <f aca="false">IF($B480="","",IFERROR(INDEX(Inventario!$B$5:$B$104,MATCH($B480,Inventario!$A$5:$A$104,0)),"⚠ código no existe"))</f>
        <v/>
      </c>
      <c r="D480" s="6"/>
      <c r="E480" s="6"/>
    </row>
    <row r="481" customFormat="false" ht="15" hidden="false" customHeight="false" outlineLevel="0" collapsed="false">
      <c r="A481" s="13"/>
      <c r="B481" s="6"/>
      <c r="C481" s="14" t="str">
        <f aca="false">IF($B481="","",IFERROR(INDEX(Inventario!$B$5:$B$104,MATCH($B481,Inventario!$A$5:$A$104,0)),"⚠ código no existe"))</f>
        <v/>
      </c>
      <c r="D481" s="6"/>
      <c r="E481" s="6"/>
    </row>
    <row r="482" customFormat="false" ht="15" hidden="false" customHeight="false" outlineLevel="0" collapsed="false">
      <c r="A482" s="13"/>
      <c r="B482" s="6"/>
      <c r="C482" s="14" t="str">
        <f aca="false">IF($B482="","",IFERROR(INDEX(Inventario!$B$5:$B$104,MATCH($B482,Inventario!$A$5:$A$104,0)),"⚠ código no existe"))</f>
        <v/>
      </c>
      <c r="D482" s="6"/>
      <c r="E482" s="6"/>
    </row>
    <row r="483" customFormat="false" ht="15" hidden="false" customHeight="false" outlineLevel="0" collapsed="false">
      <c r="A483" s="13"/>
      <c r="B483" s="6"/>
      <c r="C483" s="14" t="str">
        <f aca="false">IF($B483="","",IFERROR(INDEX(Inventario!$B$5:$B$104,MATCH($B483,Inventario!$A$5:$A$104,0)),"⚠ código no existe"))</f>
        <v/>
      </c>
      <c r="D483" s="6"/>
      <c r="E483" s="6"/>
    </row>
    <row r="484" customFormat="false" ht="15" hidden="false" customHeight="false" outlineLevel="0" collapsed="false">
      <c r="A484" s="13"/>
      <c r="B484" s="6"/>
      <c r="C484" s="14" t="str">
        <f aca="false">IF($B484="","",IFERROR(INDEX(Inventario!$B$5:$B$104,MATCH($B484,Inventario!$A$5:$A$104,0)),"⚠ código no existe"))</f>
        <v/>
      </c>
      <c r="D484" s="6"/>
      <c r="E484" s="6"/>
    </row>
    <row r="485" customFormat="false" ht="15" hidden="false" customHeight="false" outlineLevel="0" collapsed="false">
      <c r="A485" s="13"/>
      <c r="B485" s="6"/>
      <c r="C485" s="14" t="str">
        <f aca="false">IF($B485="","",IFERROR(INDEX(Inventario!$B$5:$B$104,MATCH($B485,Inventario!$A$5:$A$104,0)),"⚠ código no existe"))</f>
        <v/>
      </c>
      <c r="D485" s="6"/>
      <c r="E485" s="6"/>
    </row>
    <row r="486" customFormat="false" ht="15" hidden="false" customHeight="false" outlineLevel="0" collapsed="false">
      <c r="A486" s="13"/>
      <c r="B486" s="6"/>
      <c r="C486" s="14" t="str">
        <f aca="false">IF($B486="","",IFERROR(INDEX(Inventario!$B$5:$B$104,MATCH($B486,Inventario!$A$5:$A$104,0)),"⚠ código no existe"))</f>
        <v/>
      </c>
      <c r="D486" s="6"/>
      <c r="E486" s="6"/>
    </row>
    <row r="487" customFormat="false" ht="15" hidden="false" customHeight="false" outlineLevel="0" collapsed="false">
      <c r="A487" s="13"/>
      <c r="B487" s="6"/>
      <c r="C487" s="14" t="str">
        <f aca="false">IF($B487="","",IFERROR(INDEX(Inventario!$B$5:$B$104,MATCH($B487,Inventario!$A$5:$A$104,0)),"⚠ código no existe"))</f>
        <v/>
      </c>
      <c r="D487" s="6"/>
      <c r="E487" s="6"/>
    </row>
    <row r="488" customFormat="false" ht="15" hidden="false" customHeight="false" outlineLevel="0" collapsed="false">
      <c r="A488" s="13"/>
      <c r="B488" s="6"/>
      <c r="C488" s="14" t="str">
        <f aca="false">IF($B488="","",IFERROR(INDEX(Inventario!$B$5:$B$104,MATCH($B488,Inventario!$A$5:$A$104,0)),"⚠ código no existe"))</f>
        <v/>
      </c>
      <c r="D488" s="6"/>
      <c r="E488" s="6"/>
    </row>
    <row r="489" customFormat="false" ht="15" hidden="false" customHeight="false" outlineLevel="0" collapsed="false">
      <c r="A489" s="13"/>
      <c r="B489" s="6"/>
      <c r="C489" s="14" t="str">
        <f aca="false">IF($B489="","",IFERROR(INDEX(Inventario!$B$5:$B$104,MATCH($B489,Inventario!$A$5:$A$104,0)),"⚠ código no existe"))</f>
        <v/>
      </c>
      <c r="D489" s="6"/>
      <c r="E489" s="6"/>
    </row>
    <row r="490" customFormat="false" ht="15" hidden="false" customHeight="false" outlineLevel="0" collapsed="false">
      <c r="A490" s="13"/>
      <c r="B490" s="6"/>
      <c r="C490" s="14" t="str">
        <f aca="false">IF($B490="","",IFERROR(INDEX(Inventario!$B$5:$B$104,MATCH($B490,Inventario!$A$5:$A$104,0)),"⚠ código no existe"))</f>
        <v/>
      </c>
      <c r="D490" s="6"/>
      <c r="E490" s="6"/>
    </row>
    <row r="491" customFormat="false" ht="15" hidden="false" customHeight="false" outlineLevel="0" collapsed="false">
      <c r="A491" s="13"/>
      <c r="B491" s="6"/>
      <c r="C491" s="14" t="str">
        <f aca="false">IF($B491="","",IFERROR(INDEX(Inventario!$B$5:$B$104,MATCH($B491,Inventario!$A$5:$A$104,0)),"⚠ código no existe"))</f>
        <v/>
      </c>
      <c r="D491" s="6"/>
      <c r="E491" s="6"/>
    </row>
    <row r="492" customFormat="false" ht="15" hidden="false" customHeight="false" outlineLevel="0" collapsed="false">
      <c r="A492" s="13"/>
      <c r="B492" s="6"/>
      <c r="C492" s="14" t="str">
        <f aca="false">IF($B492="","",IFERROR(INDEX(Inventario!$B$5:$B$104,MATCH($B492,Inventario!$A$5:$A$104,0)),"⚠ código no existe"))</f>
        <v/>
      </c>
      <c r="D492" s="6"/>
      <c r="E492" s="6"/>
    </row>
    <row r="493" customFormat="false" ht="15" hidden="false" customHeight="false" outlineLevel="0" collapsed="false">
      <c r="A493" s="13"/>
      <c r="B493" s="6"/>
      <c r="C493" s="14" t="str">
        <f aca="false">IF($B493="","",IFERROR(INDEX(Inventario!$B$5:$B$104,MATCH($B493,Inventario!$A$5:$A$104,0)),"⚠ código no existe"))</f>
        <v/>
      </c>
      <c r="D493" s="6"/>
      <c r="E493" s="6"/>
    </row>
    <row r="494" customFormat="false" ht="15" hidden="false" customHeight="false" outlineLevel="0" collapsed="false">
      <c r="A494" s="13"/>
      <c r="B494" s="6"/>
      <c r="C494" s="14" t="str">
        <f aca="false">IF($B494="","",IFERROR(INDEX(Inventario!$B$5:$B$104,MATCH($B494,Inventario!$A$5:$A$104,0)),"⚠ código no existe"))</f>
        <v/>
      </c>
      <c r="D494" s="6"/>
      <c r="E494" s="6"/>
    </row>
    <row r="495" customFormat="false" ht="15" hidden="false" customHeight="false" outlineLevel="0" collapsed="false">
      <c r="A495" s="13"/>
      <c r="B495" s="6"/>
      <c r="C495" s="14" t="str">
        <f aca="false">IF($B495="","",IFERROR(INDEX(Inventario!$B$5:$B$104,MATCH($B495,Inventario!$A$5:$A$104,0)),"⚠ código no existe"))</f>
        <v/>
      </c>
      <c r="D495" s="6"/>
      <c r="E495" s="6"/>
    </row>
    <row r="496" customFormat="false" ht="15" hidden="false" customHeight="false" outlineLevel="0" collapsed="false">
      <c r="A496" s="13"/>
      <c r="B496" s="6"/>
      <c r="C496" s="14" t="str">
        <f aca="false">IF($B496="","",IFERROR(INDEX(Inventario!$B$5:$B$104,MATCH($B496,Inventario!$A$5:$A$104,0)),"⚠ código no existe"))</f>
        <v/>
      </c>
      <c r="D496" s="6"/>
      <c r="E496" s="6"/>
    </row>
    <row r="497" customFormat="false" ht="15" hidden="false" customHeight="false" outlineLevel="0" collapsed="false">
      <c r="A497" s="13"/>
      <c r="B497" s="6"/>
      <c r="C497" s="14" t="str">
        <f aca="false">IF($B497="","",IFERROR(INDEX(Inventario!$B$5:$B$104,MATCH($B497,Inventario!$A$5:$A$104,0)),"⚠ código no existe"))</f>
        <v/>
      </c>
      <c r="D497" s="6"/>
      <c r="E497" s="6"/>
    </row>
    <row r="498" customFormat="false" ht="15" hidden="false" customHeight="false" outlineLevel="0" collapsed="false">
      <c r="A498" s="13"/>
      <c r="B498" s="6"/>
      <c r="C498" s="14" t="str">
        <f aca="false">IF($B498="","",IFERROR(INDEX(Inventario!$B$5:$B$104,MATCH($B498,Inventario!$A$5:$A$104,0)),"⚠ código no existe"))</f>
        <v/>
      </c>
      <c r="D498" s="6"/>
      <c r="E498" s="6"/>
    </row>
    <row r="499" customFormat="false" ht="15" hidden="false" customHeight="false" outlineLevel="0" collapsed="false">
      <c r="A499" s="13"/>
      <c r="B499" s="6"/>
      <c r="C499" s="14" t="str">
        <f aca="false">IF($B499="","",IFERROR(INDEX(Inventario!$B$5:$B$104,MATCH($B499,Inventario!$A$5:$A$104,0)),"⚠ código no existe"))</f>
        <v/>
      </c>
      <c r="D499" s="6"/>
      <c r="E499" s="6"/>
    </row>
    <row r="500" customFormat="false" ht="15" hidden="false" customHeight="false" outlineLevel="0" collapsed="false">
      <c r="A500" s="13"/>
      <c r="B500" s="6"/>
      <c r="C500" s="14" t="str">
        <f aca="false">IF($B500="","",IFERROR(INDEX(Inventario!$B$5:$B$104,MATCH($B500,Inventario!$A$5:$A$104,0)),"⚠ código no existe"))</f>
        <v/>
      </c>
      <c r="D500" s="6"/>
      <c r="E500" s="6"/>
    </row>
    <row r="501" customFormat="false" ht="15" hidden="false" customHeight="false" outlineLevel="0" collapsed="false">
      <c r="A501" s="13"/>
      <c r="B501" s="6"/>
      <c r="C501" s="14" t="str">
        <f aca="false">IF($B501="","",IFERROR(INDEX(Inventario!$B$5:$B$104,MATCH($B501,Inventario!$A$5:$A$104,0)),"⚠ código no existe"))</f>
        <v/>
      </c>
      <c r="D501" s="6"/>
      <c r="E501" s="6"/>
    </row>
    <row r="502" customFormat="false" ht="15" hidden="false" customHeight="false" outlineLevel="0" collapsed="false">
      <c r="A502" s="13"/>
      <c r="B502" s="6"/>
      <c r="C502" s="14" t="str">
        <f aca="false">IF($B502="","",IFERROR(INDEX(Inventario!$B$5:$B$104,MATCH($B502,Inventario!$A$5:$A$104,0)),"⚠ código no existe"))</f>
        <v/>
      </c>
      <c r="D502" s="6"/>
      <c r="E502" s="6"/>
    </row>
    <row r="503" customFormat="false" ht="15" hidden="false" customHeight="false" outlineLevel="0" collapsed="false">
      <c r="A503" s="13"/>
      <c r="B503" s="6"/>
      <c r="C503" s="14" t="str">
        <f aca="false">IF($B503="","",IFERROR(INDEX(Inventario!$B$5:$B$104,MATCH($B503,Inventario!$A$5:$A$104,0)),"⚠ código no existe"))</f>
        <v/>
      </c>
      <c r="D503" s="6"/>
      <c r="E503" s="6"/>
    </row>
    <row r="504" customFormat="false" ht="15" hidden="false" customHeight="false" outlineLevel="0" collapsed="false">
      <c r="A504" s="13"/>
      <c r="B504" s="6"/>
      <c r="C504" s="14" t="str">
        <f aca="false">IF($B504="","",IFERROR(INDEX(Inventario!$B$5:$B$104,MATCH($B504,Inventario!$A$5:$A$104,0)),"⚠ código no existe"))</f>
        <v/>
      </c>
      <c r="D504" s="6"/>
      <c r="E504" s="6"/>
    </row>
  </sheetData>
  <dataValidations count="1">
    <dataValidation allowBlank="true" error="Escribe 'Entrada' o 'Salida'" errorStyle="stop" operator="between" showDropDown="false" showErrorMessage="true" showInputMessage="false" sqref="D5:D504" type="list">
      <formula1>"Entrada,Salida"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2026-07-22T19:10:53Z</dcterms:created>
  <dc:creator>openpyxl</dc:creator>
  <dc:description/>
  <dc:language>en-US</dc:language>
  <cp:lastModifiedBy/>
  <dcterms:modified xsi:type="dcterms:W3CDTF">2026-07-22T19:10:53Z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